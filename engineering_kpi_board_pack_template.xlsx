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oard Pack" sheetId="3" state="visible" r:id="rId3"/>
  </sheets>
  <definedNames>
    <definedName name="_xlnm.Print_Area" localSheetId="0">'Inputs'!$B$2:$J$36</definedName>
    <definedName name="_xlnm.Print_Area" localSheetId="1">'KPI Dashboard'!$B$2:$J$31</definedName>
    <definedName name="_xlnm.Print_Area" localSheetId="2">'Board Pack'!$B$2:$J$45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i val="1"/>
      <color rgb="00000000"/>
      <sz val="10"/>
    </font>
    <font>
      <name val="Arial"/>
      <b val="1"/>
      <color rgb="00000000"/>
    </font>
    <font>
      <name val="Arial"/>
      <color rgb="000000FF"/>
    </font>
    <font>
      <name val="Arial"/>
      <color rgb="00008000"/>
    </font>
    <font>
      <name val="Arial"/>
      <color rgb="00000000"/>
    </font>
    <font>
      <name val="Arial"/>
      <i val="1"/>
      <color rgb="00000000"/>
    </font>
  </fonts>
  <fills count="5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  <fill>
      <patternFill patternType="solid">
        <fgColor rgb="00E7E5E4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right" vertical="top" wrapText="1"/>
    </xf>
    <xf numFmtId="164" fontId="5" fillId="0" borderId="0" applyAlignment="1" pivotButton="0" quotePrefix="0" xfId="0">
      <alignment horizontal="right" vertical="top" wrapText="1"/>
    </xf>
    <xf numFmtId="1" fontId="5" fillId="0" borderId="0" applyAlignment="1" pivotButton="0" quotePrefix="0" xfId="0">
      <alignment horizontal="right" vertical="top" wrapText="1"/>
    </xf>
    <xf numFmtId="165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164" fontId="6" fillId="0" borderId="0" applyAlignment="1" pivotButton="0" quotePrefix="0" xfId="0">
      <alignment horizontal="right" vertical="top" wrapText="1"/>
    </xf>
    <xf numFmtId="164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1" fontId="6" fillId="0" borderId="0" applyAlignment="1" pivotButton="0" quotePrefix="0" xfId="0">
      <alignment horizontal="right" vertical="top" wrapText="1"/>
    </xf>
    <xf numFmtId="1" fontId="7" fillId="0" borderId="0" applyAlignment="1" pivotButton="0" quotePrefix="0" xfId="0">
      <alignment horizontal="right" vertical="top" wrapText="1"/>
    </xf>
    <xf numFmtId="165" fontId="6" fillId="0" borderId="0" applyAlignment="1" pivotButton="0" quotePrefix="0" xfId="0">
      <alignment horizontal="right" vertical="top" wrapText="1"/>
    </xf>
    <xf numFmtId="165" fontId="7" fillId="0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Manus AI</author>
  </authors>
  <commentList>
    <comment ref="D10" authorId="0" shapeId="0">
      <text>
        <t>Source: Board reporting calendar / governed data record. Board reporting calendar</t>
      </text>
    </comment>
    <comment ref="D11" authorId="0" shapeId="0">
      <text>
        <t>Source: Board reporting calendar / governed data record. Timestamp after which data cannot change without restatement</t>
      </text>
    </comment>
    <comment ref="D12" authorId="0" shapeId="0">
      <text>
        <t>Source: Board reporting calendar / governed data record. Person accountable for completeness, freshness and reconciliation</t>
      </text>
    </comment>
    <comment ref="D13" authorId="0" shapeId="0">
      <text>
        <t>Source: Board reporting calendar / governed data record. First approved measurement period for trend comparison</t>
      </text>
    </comment>
    <comment ref="D18" authorId="0" shapeId="0">
      <text>
        <t>Source: KPI dictionary in ENGINEERING_BOARD_KPI_PACK.md. Direction changes require CTO approval.</t>
      </text>
    </comment>
    <comment ref="E18" authorId="0" shapeId="0">
      <text>
        <t>Source: CI / JUnit; prior full monthly period, using the approved KPI definition.</t>
      </text>
    </comment>
    <comment ref="F18" authorId="0" shapeId="0">
      <text>
        <t>Source: CI / JUnit; current reporting month through recorded data cut-off date.</t>
      </text>
    </comment>
    <comment ref="G18" authorId="0" shapeId="0">
      <text>
        <t>Source: Board-approved KPI target; target must carry approval date and owner.</t>
      </text>
    </comment>
    <comment ref="H18" authorId="0" shapeId="0">
      <text>
        <t>Source: Board-approved alert threshold; used for yellow/red status escalation.</t>
      </text>
    </comment>
    <comment ref="D19" authorId="0" shapeId="0">
      <text>
        <t>Source: KPI dictionary in ENGINEERING_BOARD_KPI_PACK.md. Direction changes require CTO approval.</t>
      </text>
    </comment>
    <comment ref="E19" authorId="0" shapeId="0">
      <text>
        <t>Source: Local SAST + CI/SARIF; prior full monthly period, using the approved KPI definition.</t>
      </text>
    </comment>
    <comment ref="F19" authorId="0" shapeId="0">
      <text>
        <t>Source: Local SAST + CI/SARIF; current reporting month through recorded data cut-off date.</t>
      </text>
    </comment>
    <comment ref="G19" authorId="0" shapeId="0">
      <text>
        <t>Source: Board-approved KPI target; target must carry approval date and owner.</t>
      </text>
    </comment>
    <comment ref="H19" authorId="0" shapeId="0">
      <text>
        <t>Source: Board-approved alert threshold; used for yellow/red status escalation.</t>
      </text>
    </comment>
    <comment ref="D20" authorId="0" shapeId="0">
      <text>
        <t>Source: KPI dictionary in ENGINEERING_BOARD_KPI_PACK.md. Direction changes require CTO approval.</t>
      </text>
    </comment>
    <comment ref="E20" authorId="0" shapeId="0">
      <text>
        <t>Source: Incident register; prior full monthly period, using the approved KPI definition.</t>
      </text>
    </comment>
    <comment ref="F20" authorId="0" shapeId="0">
      <text>
        <t>Source: Incident register; current reporting month through recorded data cut-off date.</t>
      </text>
    </comment>
    <comment ref="G20" authorId="0" shapeId="0">
      <text>
        <t>Source: Board-approved KPI target; target must carry approval date and owner.</t>
      </text>
    </comment>
    <comment ref="H20" authorId="0" shapeId="0">
      <text>
        <t>Source: Board-approved alert threshold; used for yellow/red status escalation.</t>
      </text>
    </comment>
    <comment ref="D21" authorId="0" shapeId="0">
      <text>
        <t>Source: KPI dictionary in ENGINEERING_BOARD_KPI_PACK.md. Direction changes require CTO approval.</t>
      </text>
    </comment>
    <comment ref="E21" authorId="0" shapeId="0">
      <text>
        <t>Source: Security backlog; prior full monthly period, using the approved KPI definition.</t>
      </text>
    </comment>
    <comment ref="F21" authorId="0" shapeId="0">
      <text>
        <t>Source: Security backlog; current reporting month through recorded data cut-off date.</t>
      </text>
    </comment>
    <comment ref="G21" authorId="0" shapeId="0">
      <text>
        <t>Source: Board-approved KPI target; target must carry approval date and owner.</t>
      </text>
    </comment>
    <comment ref="H21" authorId="0" shapeId="0">
      <text>
        <t>Source: Board-approved alert threshold; used for yellow/red status escalation.</t>
      </text>
    </comment>
    <comment ref="D22" authorId="0" shapeId="0">
      <text>
        <t>Source: KPI dictionary in ENGINEERING_BOARD_KPI_PACK.md. Direction changes require CTO approval.</t>
      </text>
    </comment>
    <comment ref="E22" authorId="0" shapeId="0">
      <text>
        <t>Source: GitHub + CI/CD; prior full monthly period, using the approved KPI definition.</t>
      </text>
    </comment>
    <comment ref="F22" authorId="0" shapeId="0">
      <text>
        <t>Source: GitHub + CI/CD; current reporting month through recorded data cut-off date.</t>
      </text>
    </comment>
    <comment ref="G22" authorId="0" shapeId="0">
      <text>
        <t>Source: Board-approved KPI target; target must carry approval date and owner.</t>
      </text>
    </comment>
    <comment ref="H22" authorId="0" shapeId="0">
      <text>
        <t>Source: Board-approved alert threshold; used for yellow/red status escalation.</t>
      </text>
    </comment>
    <comment ref="D23" authorId="0" shapeId="0">
      <text>
        <t>Source: KPI dictionary in ENGINEERING_BOARD_KPI_PACK.md. Direction changes require CTO approval.</t>
      </text>
    </comment>
    <comment ref="E23" authorId="0" shapeId="0">
      <text>
        <t>Source: GitHub Releases + CI; prior full monthly period, using the approved KPI definition.</t>
      </text>
    </comment>
    <comment ref="F23" authorId="0" shapeId="0">
      <text>
        <t>Source: GitHub Releases + CI; current reporting month through recorded data cut-off date.</t>
      </text>
    </comment>
    <comment ref="G23" authorId="0" shapeId="0">
      <text>
        <t>Source: Board-approved KPI target; target must carry approval date and owner.</t>
      </text>
    </comment>
    <comment ref="H23" authorId="0" shapeId="0">
      <text>
        <t>Source: Board-approved alert threshold; used for yellow/red status escalation.</t>
      </text>
    </comment>
    <comment ref="D24" authorId="0" shapeId="0">
      <text>
        <t>Source: KPI dictionary in ENGINEERING_BOARD_KPI_PACK.md. Direction changes require CTO approval.</t>
      </text>
    </comment>
    <comment ref="E24" authorId="0" shapeId="0">
      <text>
        <t>Source: Incident register + CI; prior full monthly period, using the approved KPI definition.</t>
      </text>
    </comment>
    <comment ref="F24" authorId="0" shapeId="0">
      <text>
        <t>Source: Incident register + CI; current reporting month through recorded data cut-off date.</t>
      </text>
    </comment>
    <comment ref="G24" authorId="0" shapeId="0">
      <text>
        <t>Source: Board-approved KPI target; target must carry approval date and owner.</t>
      </text>
    </comment>
    <comment ref="H24" authorId="0" shapeId="0">
      <text>
        <t>Source: Board-approved alert threshold; used for yellow/red status escalation.</t>
      </text>
    </comment>
    <comment ref="D25" authorId="0" shapeId="0">
      <text>
        <t>Source: KPI dictionary in ENGINEERING_BOARD_KPI_PACK.md. Direction changes require CTO approval.</t>
      </text>
    </comment>
    <comment ref="E25" authorId="0" shapeId="0">
      <text>
        <t>Source: Release register + incidents; prior full monthly period, using the approved KPI definition.</t>
      </text>
    </comment>
    <comment ref="F25" authorId="0" shapeId="0">
      <text>
        <t>Source: Release register + incidents; current reporting month through recorded data cut-off date.</t>
      </text>
    </comment>
    <comment ref="G25" authorId="0" shapeId="0">
      <text>
        <t>Source: Board-approved KPI target; target must carry approval date and owner.</t>
      </text>
    </comment>
    <comment ref="H25" authorId="0" shapeId="0">
      <text>
        <t>Source: Board-approved alert threshold; used for yellow/red status escalation.</t>
      </text>
    </comment>
    <comment ref="D26" authorId="0" shapeId="0">
      <text>
        <t>Source: KPI dictionary in ENGINEERING_BOARD_KPI_PACK.md. Direction changes require CTO approval.</t>
      </text>
    </comment>
    <comment ref="E26" authorId="0" shapeId="0">
      <text>
        <t>Source: HRIS + hiring plan; prior full monthly period, using the approved KPI definition.</t>
      </text>
    </comment>
    <comment ref="F26" authorId="0" shapeId="0">
      <text>
        <t>Source: HRIS + hiring plan; current reporting month through recorded data cut-off date.</t>
      </text>
    </comment>
    <comment ref="G26" authorId="0" shapeId="0">
      <text>
        <t>Source: Board-approved KPI target; target must carry approval date and owner.</t>
      </text>
    </comment>
    <comment ref="H26" authorId="0" shapeId="0">
      <text>
        <t>Source: Board-approved alert threshold; used for yellow/red status escalation.</t>
      </text>
    </comment>
    <comment ref="D27" authorId="0" shapeId="0">
      <text>
        <t>Source: KPI dictionary in ENGINEERING_BOARD_KPI_PACK.md. Direction changes require CTO approval.</t>
      </text>
    </comment>
    <comment ref="E27" authorId="0" shapeId="0">
      <text>
        <t>Source: ATS; prior full monthly period, using the approved KPI definition.</t>
      </text>
    </comment>
    <comment ref="F27" authorId="0" shapeId="0">
      <text>
        <t>Source: ATS; current reporting month through recorded data cut-off date.</t>
      </text>
    </comment>
    <comment ref="G27" authorId="0" shapeId="0">
      <text>
        <t>Source: Board-approved KPI target; target must carry approval date and owner.</t>
      </text>
    </comment>
    <comment ref="H27" authorId="0" shapeId="0">
      <text>
        <t>Source: Board-approved alert threshold; used for yellow/red status escalation.</t>
      </text>
    </comment>
    <comment ref="D28" authorId="0" shapeId="0">
      <text>
        <t>Source: KPI dictionary in ENGINEERING_BOARD_KPI_PACK.md. Direction changes require CTO approval.</t>
      </text>
    </comment>
    <comment ref="E28" authorId="0" shapeId="0">
      <text>
        <t>Source: HRIS + exit interviews; prior full monthly period, using the approved KPI definition.</t>
      </text>
    </comment>
    <comment ref="F28" authorId="0" shapeId="0">
      <text>
        <t>Source: HRIS + exit interviews; current reporting month through recorded data cut-off date.</t>
      </text>
    </comment>
    <comment ref="G28" authorId="0" shapeId="0">
      <text>
        <t>Source: Board-approved KPI target; target must carry approval date and owner.</t>
      </text>
    </comment>
    <comment ref="H28" authorId="0" shapeId="0">
      <text>
        <t>Source: Board-approved alert threshold; used for yellow/red status escalation.</t>
      </text>
    </comment>
    <comment ref="D29" authorId="0" shapeId="0">
      <text>
        <t>Source: KPI dictionary in ENGINEERING_BOARD_KPI_PACK.md. Direction changes require CTO approval.</t>
      </text>
    </comment>
    <comment ref="E29" authorId="0" shapeId="0">
      <text>
        <t>Source: CRM + product telemetry + support; prior full monthly period, using the approved KPI definition.</t>
      </text>
    </comment>
    <comment ref="F29" authorId="0" shapeId="0">
      <text>
        <t>Source: CRM + product telemetry + support; current reporting month through recorded data cut-off date.</t>
      </text>
    </comment>
    <comment ref="G29" authorId="0" shapeId="0">
      <text>
        <t>Source: Board-approved KPI target; target must carry approval date and owner.</t>
      </text>
    </comment>
    <comment ref="H29" authorId="0" shapeId="0">
      <text>
        <t>Source: Board-approved alert threshold; used for yellow/red status escalation.</t>
      </text>
    </comment>
    <comment ref="D30" authorId="0" shapeId="0">
      <text>
        <t>Source: KPI dictionary in ENGINEERING_BOARD_KPI_PACK.md. Direction changes require CTO approval.</t>
      </text>
    </comment>
    <comment ref="E30" authorId="0" shapeId="0">
      <text>
        <t>Source: Opt-in product telemetry; prior full monthly period, using the approved KPI definition.</t>
      </text>
    </comment>
    <comment ref="F30" authorId="0" shapeId="0">
      <text>
        <t>Source: Opt-in product telemetry; current reporting month through recorded data cut-off date.</t>
      </text>
    </comment>
    <comment ref="G30" authorId="0" shapeId="0">
      <text>
        <t>Source: Board-approved KPI target; target must carry approval date and owner.</t>
      </text>
    </comment>
    <comment ref="H30" authorId="0" shapeId="0">
      <text>
        <t>Source: Board-approved alert threshold; used for yellow/red status escalation.</t>
      </text>
    </comment>
    <comment ref="D31" authorId="0" shapeId="0">
      <text>
        <t>Source: KPI dictionary in ENGINEERING_BOARD_KPI_PACK.md. Direction changes require CTO approval.</t>
      </text>
    </comment>
    <comment ref="E31" authorId="0" shapeId="0">
      <text>
        <t>Source: Human-reviewed evaluation dataset; prior full monthly period, using the approved KPI definition.</t>
      </text>
    </comment>
    <comment ref="F31" authorId="0" shapeId="0">
      <text>
        <t>Source: Human-reviewed evaluation dataset; current reporting month through recorded data cut-off date.</t>
      </text>
    </comment>
    <comment ref="G31" authorId="0" shapeId="0">
      <text>
        <t>Source: Board-approved KPI target; target must carry approval date and owner.</t>
      </text>
    </comment>
    <comment ref="H31" authorId="0" shapeId="0">
      <text>
        <t>Source: Board-approved alert threshold; used for yellow/red status escalation.</t>
      </text>
    </comment>
    <comment ref="D32" authorId="0" shapeId="0">
      <text>
        <t>Source: KPI dictionary in ENGINEERING_BOARD_KPI_PACK.md. Direction changes require CTO approval.</t>
      </text>
    </comment>
    <comment ref="E32" authorId="0" shapeId="0">
      <text>
        <t>Source: Curated ground-truth dataset; prior full monthly period, using the approved KPI definition.</t>
      </text>
    </comment>
    <comment ref="F32" authorId="0" shapeId="0">
      <text>
        <t>Source: Curated ground-truth dataset; current reporting month through recorded data cut-off date.</t>
      </text>
    </comment>
    <comment ref="G32" authorId="0" shapeId="0">
      <text>
        <t>Source: Board-approved KPI target; target must carry approval date and owner.</t>
      </text>
    </comment>
    <comment ref="H32" authorId="0" shapeId="0">
      <text>
        <t>Source: Board-approved alert threshold; used for yellow/red status escalation.</t>
      </text>
    </comment>
    <comment ref="D33" authorId="0" shapeId="0">
      <text>
        <t>Source: KPI dictionary in ENGINEERING_BOARD_KPI_PACK.md. Direction changes require CTO approval.</t>
      </text>
    </comment>
    <comment ref="E33" authorId="0" shapeId="0">
      <text>
        <t>Source: Review labels + customer feedback; prior full monthly period, using the approved KPI definition.</t>
      </text>
    </comment>
    <comment ref="F33" authorId="0" shapeId="0">
      <text>
        <t>Source: Review labels + customer feedback; current reporting month through recorded data cut-off date.</t>
      </text>
    </comment>
    <comment ref="G33" authorId="0" shapeId="0">
      <text>
        <t>Source: Board-approved KPI target; target must carry approval date and owner.</t>
      </text>
    </comment>
    <comment ref="H33" authorId="0" shapeId="0">
      <text>
        <t>Source: Board-approved alert threshold; used for yellow/red status escalation.</t>
      </text>
    </comment>
  </commentList>
</comments>
</file>

<file path=xl/comments/comment2.xml><?xml version="1.0" encoding="utf-8"?>
<comments xmlns="http://schemas.openxmlformats.org/spreadsheetml/2006/main">
  <authors>
    <author>Manus AI</author>
  </authors>
  <commentList>
    <comment ref="D10" authorId="0" shapeId="0">
      <text>
        <t>Source: Monthly Board Pack owner; state a specific decision, risk and date. Do not enter confidential raw customer data.</t>
      </text>
    </comment>
    <comment ref="E10" authorId="0" shapeId="0">
      <text>
        <t>Source: Monthly Board Pack owner; state a specific decision, risk and date. Do not enter confidential raw customer data.</t>
      </text>
    </comment>
    <comment ref="F10" authorId="0" shapeId="0">
      <text>
        <t>Source: Monthly Board Pack owner; state a specific decision, risk and date. Do not enter confidential raw customer data.</t>
      </text>
    </comment>
    <comment ref="G10" authorId="0" shapeId="0">
      <text>
        <t>Source: Monthly Board Pack owner; state a specific decision, risk and date. Do not enter confidential raw customer data.</t>
      </text>
    </comment>
    <comment ref="H10" authorId="0" shapeId="0">
      <text>
        <t>Source: Monthly Board Pack owner; state a specific decision, risk and date. Do not enter confidential raw customer data.</t>
      </text>
    </comment>
    <comment ref="D11" authorId="0" shapeId="0">
      <text>
        <t>Source: Monthly Board Pack owner; state a specific decision, risk and date. Do not enter confidential raw customer data.</t>
      </text>
    </comment>
    <comment ref="E11" authorId="0" shapeId="0">
      <text>
        <t>Source: Monthly Board Pack owner; state a specific decision, risk and date. Do not enter confidential raw customer data.</t>
      </text>
    </comment>
    <comment ref="F11" authorId="0" shapeId="0">
      <text>
        <t>Source: Monthly Board Pack owner; state a specific decision, risk and date. Do not enter confidential raw customer data.</t>
      </text>
    </comment>
    <comment ref="G11" authorId="0" shapeId="0">
      <text>
        <t>Source: Monthly Board Pack owner; state a specific decision, risk and date. Do not enter confidential raw customer data.</t>
      </text>
    </comment>
    <comment ref="H11" authorId="0" shapeId="0">
      <text>
        <t>Source: Monthly Board Pack owner; state a specific decision, risk and date. Do not enter confidential raw customer data.</t>
      </text>
    </comment>
    <comment ref="D12" authorId="0" shapeId="0">
      <text>
        <t>Source: Monthly Board Pack owner; state a specific decision, risk and date. Do not enter confidential raw customer data.</t>
      </text>
    </comment>
    <comment ref="E12" authorId="0" shapeId="0">
      <text>
        <t>Source: Monthly Board Pack owner; state a specific decision, risk and date. Do not enter confidential raw customer data.</t>
      </text>
    </comment>
    <comment ref="F12" authorId="0" shapeId="0">
      <text>
        <t>Source: Monthly Board Pack owner; state a specific decision, risk and date. Do not enter confidential raw customer data.</t>
      </text>
    </comment>
    <comment ref="G12" authorId="0" shapeId="0">
      <text>
        <t>Source: Monthly Board Pack owner; state a specific decision, risk and date. Do not enter confidential raw customer data.</t>
      </text>
    </comment>
    <comment ref="H12" authorId="0" shapeId="0">
      <text>
        <t>Source: Monthly Board Pack owner; state a specific decision, risk and date. Do not enter confidential raw customer data.</t>
      </text>
    </comment>
    <comment ref="D13" authorId="0" shapeId="0">
      <text>
        <t>Source: Monthly Board Pack owner; state a specific decision, risk and date. Do not enter confidential raw customer data.</t>
      </text>
    </comment>
    <comment ref="E13" authorId="0" shapeId="0">
      <text>
        <t>Source: Monthly Board Pack owner; state a specific decision, risk and date. Do not enter confidential raw customer data.</t>
      </text>
    </comment>
    <comment ref="F13" authorId="0" shapeId="0">
      <text>
        <t>Source: Monthly Board Pack owner; state a specific decision, risk and date. Do not enter confidential raw customer data.</t>
      </text>
    </comment>
    <comment ref="G13" authorId="0" shapeId="0">
      <text>
        <t>Source: Monthly Board Pack owner; state a specific decision, risk and date. Do not enter confidential raw customer data.</t>
      </text>
    </comment>
    <comment ref="H13" authorId="0" shapeId="0">
      <text>
        <t>Source: Monthly Board Pack owner; state a specific decision, risk and date. Do not enter confidential raw customer data.</t>
      </text>
    </comment>
    <comment ref="D14" authorId="0" shapeId="0">
      <text>
        <t>Source: Monthly Board Pack owner; state a specific decision, risk and date. Do not enter confidential raw customer data.</t>
      </text>
    </comment>
    <comment ref="E14" authorId="0" shapeId="0">
      <text>
        <t>Source: Monthly Board Pack owner; state a specific decision, risk and date. Do not enter confidential raw customer data.</t>
      </text>
    </comment>
    <comment ref="F14" authorId="0" shapeId="0">
      <text>
        <t>Source: Monthly Board Pack owner; state a specific decision, risk and date. Do not enter confidential raw customer data.</t>
      </text>
    </comment>
    <comment ref="G14" authorId="0" shapeId="0">
      <text>
        <t>Source: Monthly Board Pack owner; state a specific decision, risk and date. Do not enter confidential raw customer data.</t>
      </text>
    </comment>
    <comment ref="H14" authorId="0" shapeId="0">
      <text>
        <t>Source: Monthly Board Pack owner; state a specific decision, risk and date. Do not enter confidential raw customer data.</t>
      </text>
    </comment>
    <comment ref="H19" authorId="0" shapeId="0">
      <text>
        <t>Source: KPI owner; include root cause, 30-day action, date and escalation need for any YELLOW/RED status.</t>
      </text>
    </comment>
    <comment ref="H20" authorId="0" shapeId="0">
      <text>
        <t>Source: KPI owner; include root cause, 30-day action, date and escalation need for any YELLOW/RED status.</t>
      </text>
    </comment>
    <comment ref="H21" authorId="0" shapeId="0">
      <text>
        <t>Source: KPI owner; include root cause, 30-day action, date and escalation need for any YELLOW/RED status.</t>
      </text>
    </comment>
    <comment ref="H22" authorId="0" shapeId="0">
      <text>
        <t>Source: KPI owner; include root cause, 30-day action, date and escalation need for any YELLOW/RED status.</t>
      </text>
    </comment>
    <comment ref="H23" authorId="0" shapeId="0">
      <text>
        <t>Source: KPI owner; include root cause, 30-day action, date and escalation need for any YELLOW/RED status.</t>
      </text>
    </comment>
    <comment ref="H24" authorId="0" shapeId="0">
      <text>
        <t>Source: KPI owner; include root cause, 30-day action, date and escalation need for any YELLOW/RED status.</t>
      </text>
    </comment>
    <comment ref="H25" authorId="0" shapeId="0">
      <text>
        <t>Source: KPI owner; include root cause, 30-day action, date and escalation need for any YELLOW/RED status.</t>
      </text>
    </comment>
    <comment ref="H26" authorId="0" shapeId="0">
      <text>
        <t>Source: KPI owner; include root cause, 30-day action, date and escalation need for any YELLOW/RED status.</t>
      </text>
    </comment>
    <comment ref="D31" authorId="0" shapeId="0">
      <text>
        <t>Source: Workstream owner; cite verifiable release, PR, test report, approval or risk register entry.</t>
      </text>
    </comment>
    <comment ref="E31" authorId="0" shapeId="0">
      <text>
        <t>Source: Workstream owner; cite verifiable release, PR, test report, approval or risk register entry.</t>
      </text>
    </comment>
    <comment ref="F31" authorId="0" shapeId="0">
      <text>
        <t>Source: Workstream owner; cite verifiable release, PR, test report, approval or risk register entry.</t>
      </text>
    </comment>
    <comment ref="G31" authorId="0" shapeId="0">
      <text>
        <t>Source: Workstream owner; cite verifiable release, PR, test report, approval or risk register entry.</t>
      </text>
    </comment>
    <comment ref="H31" authorId="0" shapeId="0">
      <text>
        <t>Source: Workstream owner; cite verifiable release, PR, test report, approval or risk register entry.</t>
      </text>
    </comment>
    <comment ref="D32" authorId="0" shapeId="0">
      <text>
        <t>Source: Workstream owner; cite verifiable release, PR, test report, approval or risk register entry.</t>
      </text>
    </comment>
    <comment ref="E32" authorId="0" shapeId="0">
      <text>
        <t>Source: Workstream owner; cite verifiable release, PR, test report, approval or risk register entry.</t>
      </text>
    </comment>
    <comment ref="F32" authorId="0" shapeId="0">
      <text>
        <t>Source: Workstream owner; cite verifiable release, PR, test report, approval or risk register entry.</t>
      </text>
    </comment>
    <comment ref="G32" authorId="0" shapeId="0">
      <text>
        <t>Source: Workstream owner; cite verifiable release, PR, test report, approval or risk register entry.</t>
      </text>
    </comment>
    <comment ref="H32" authorId="0" shapeId="0">
      <text>
        <t>Source: Workstream owner; cite verifiable release, PR, test report, approval or risk register entry.</t>
      </text>
    </comment>
    <comment ref="D33" authorId="0" shapeId="0">
      <text>
        <t>Source: Workstream owner; cite verifiable release, PR, test report, approval or risk register entry.</t>
      </text>
    </comment>
    <comment ref="E33" authorId="0" shapeId="0">
      <text>
        <t>Source: Workstream owner; cite verifiable release, PR, test report, approval or risk register entry.</t>
      </text>
    </comment>
    <comment ref="F33" authorId="0" shapeId="0">
      <text>
        <t>Source: Workstream owner; cite verifiable release, PR, test report, approval or risk register entry.</t>
      </text>
    </comment>
    <comment ref="G33" authorId="0" shapeId="0">
      <text>
        <t>Source: Workstream owner; cite verifiable release, PR, test report, approval or risk register entry.</t>
      </text>
    </comment>
    <comment ref="H33" authorId="0" shapeId="0">
      <text>
        <t>Source: Workstream owner; cite verifiable release, PR, test report, approval or risk register entry.</t>
      </text>
    </comment>
    <comment ref="D34" authorId="0" shapeId="0">
      <text>
        <t>Source: Workstream owner; cite verifiable release, PR, test report, approval or risk register entry.</t>
      </text>
    </comment>
    <comment ref="E34" authorId="0" shapeId="0">
      <text>
        <t>Source: Workstream owner; cite verifiable release, PR, test report, approval or risk register entry.</t>
      </text>
    </comment>
    <comment ref="F34" authorId="0" shapeId="0">
      <text>
        <t>Source: Workstream owner; cite verifiable release, PR, test report, approval or risk register entry.</t>
      </text>
    </comment>
    <comment ref="G34" authorId="0" shapeId="0">
      <text>
        <t>Source: Workstream owner; cite verifiable release, PR, test report, approval or risk register entry.</t>
      </text>
    </comment>
    <comment ref="H34" authorId="0" shapeId="0">
      <text>
        <t>Source: Workstream owner; cite verifiable release, PR, test report, approval or risk register entry.</t>
      </text>
    </comment>
    <comment ref="D35" authorId="0" shapeId="0">
      <text>
        <t>Source: Workstream owner; cite verifiable release, PR, test report, approval or risk register entry.</t>
      </text>
    </comment>
    <comment ref="E35" authorId="0" shapeId="0">
      <text>
        <t>Source: Workstream owner; cite verifiable release, PR, test report, approval or risk register entry.</t>
      </text>
    </comment>
    <comment ref="F35" authorId="0" shapeId="0">
      <text>
        <t>Source: Workstream owner; cite verifiable release, PR, test report, approval or risk register entry.</t>
      </text>
    </comment>
    <comment ref="G35" authorId="0" shapeId="0">
      <text>
        <t>Source: Workstream owner; cite verifiable release, PR, test report, approval or risk register entry.</t>
      </text>
    </comment>
    <comment ref="H35" authorId="0" shapeId="0">
      <text>
        <t>Source: Workstream owner; cite verifiable release, PR, test report, approval or risk register entry.</t>
      </text>
    </comment>
    <comment ref="C40" authorId="0" shapeId="0">
      <text>
        <t>Source: Board meeting minutes; capture final decision, accountable owner and verifiable evidence.</t>
      </text>
    </comment>
    <comment ref="D40" authorId="0" shapeId="0">
      <text>
        <t>Source: Board meeting minutes; capture final decision, accountable owner and verifiable evidence.</t>
      </text>
    </comment>
    <comment ref="E40" authorId="0" shapeId="0">
      <text>
        <t>Source: Board meeting minutes; capture final decision, accountable owner and verifiable evidence.</t>
      </text>
    </comment>
    <comment ref="F40" authorId="0" shapeId="0">
      <text>
        <t>Source: Board meeting minutes; capture final decision, accountable owner and verifiable evidence.</t>
      </text>
    </comment>
    <comment ref="G40" authorId="0" shapeId="0">
      <text>
        <t>Source: Board meeting minutes; capture final decision, accountable owner and verifiable evidence.</t>
      </text>
    </comment>
    <comment ref="H40" authorId="0" shapeId="0">
      <text>
        <t>Source: Board meeting minutes; capture final decision, accountable owner and verifiable evidence.</t>
      </text>
    </comment>
    <comment ref="C41" authorId="0" shapeId="0">
      <text>
        <t>Source: Board meeting minutes; capture final decision, accountable owner and verifiable evidence.</t>
      </text>
    </comment>
    <comment ref="D41" authorId="0" shapeId="0">
      <text>
        <t>Source: Board meeting minutes; capture final decision, accountable owner and verifiable evidence.</t>
      </text>
    </comment>
    <comment ref="E41" authorId="0" shapeId="0">
      <text>
        <t>Source: Board meeting minutes; capture final decision, accountable owner and verifiable evidence.</t>
      </text>
    </comment>
    <comment ref="F41" authorId="0" shapeId="0">
      <text>
        <t>Source: Board meeting minutes; capture final decision, accountable owner and verifiable evidence.</t>
      </text>
    </comment>
    <comment ref="G41" authorId="0" shapeId="0">
      <text>
        <t>Source: Board meeting minutes; capture final decision, accountable owner and verifiable evidence.</t>
      </text>
    </comment>
    <comment ref="H41" authorId="0" shapeId="0">
      <text>
        <t>Source: Board meeting minutes; capture final decision, accountable owner and verifiable evidence.</t>
      </text>
    </comment>
    <comment ref="C42" authorId="0" shapeId="0">
      <text>
        <t>Source: Board meeting minutes; capture final decision, accountable owner and verifiable evidence.</t>
      </text>
    </comment>
    <comment ref="D42" authorId="0" shapeId="0">
      <text>
        <t>Source: Board meeting minutes; capture final decision, accountable owner and verifiable evidence.</t>
      </text>
    </comment>
    <comment ref="E42" authorId="0" shapeId="0">
      <text>
        <t>Source: Board meeting minutes; capture final decision, accountable owner and verifiable evidence.</t>
      </text>
    </comment>
    <comment ref="F42" authorId="0" shapeId="0">
      <text>
        <t>Source: Board meeting minutes; capture final decision, accountable owner and verifiable evidence.</t>
      </text>
    </comment>
    <comment ref="G42" authorId="0" shapeId="0">
      <text>
        <t>Source: Board meeting minutes; capture final decision, accountable owner and verifiable evidence.</t>
      </text>
    </comment>
    <comment ref="H42" authorId="0" shapeId="0">
      <text>
        <t>Source: Board meeting minutes; capture final decision, accountable owner and verifiable evidence.</t>
      </text>
    </comment>
    <comment ref="C43" authorId="0" shapeId="0">
      <text>
        <t>Source: Board meeting minutes; capture final decision, accountable owner and verifiable evidence.</t>
      </text>
    </comment>
    <comment ref="D43" authorId="0" shapeId="0">
      <text>
        <t>Source: Board meeting minutes; capture final decision, accountable owner and verifiable evidence.</t>
      </text>
    </comment>
    <comment ref="E43" authorId="0" shapeId="0">
      <text>
        <t>Source: Board meeting minutes; capture final decision, accountable owner and verifiable evidence.</t>
      </text>
    </comment>
    <comment ref="F43" authorId="0" shapeId="0">
      <text>
        <t>Source: Board meeting minutes; capture final decision, accountable owner and verifiable evidence.</t>
      </text>
    </comment>
    <comment ref="G43" authorId="0" shapeId="0">
      <text>
        <t>Source: Board meeting minutes; capture final decision, accountable owner and verifiable evidence.</t>
      </text>
    </comment>
    <comment ref="H43" authorId="0" shapeId="0">
      <text>
        <t>Source: Board meeting minutes; capture final decision, accountable owner and verifiable evidence.</t>
      </text>
    </comment>
    <comment ref="C44" authorId="0" shapeId="0">
      <text>
        <t>Source: Board meeting minutes; capture final decision, accountable owner and verifiable evidence.</t>
      </text>
    </comment>
    <comment ref="D44" authorId="0" shapeId="0">
      <text>
        <t>Source: Board meeting minutes; capture final decision, accountable owner and verifiable evidence.</t>
      </text>
    </comment>
    <comment ref="E44" authorId="0" shapeId="0">
      <text>
        <t>Source: Board meeting minutes; capture final decision, accountable owner and verifiable evidence.</t>
      </text>
    </comment>
    <comment ref="F44" authorId="0" shapeId="0">
      <text>
        <t>Source: Board meeting minutes; capture final decision, accountable owner and verifiable evidence.</t>
      </text>
    </comment>
    <comment ref="G44" authorId="0" shapeId="0">
      <text>
        <t>Source: Board meeting minutes; capture final decision, accountable owner and verifiable evidence.</t>
      </text>
    </comment>
    <comment ref="H44" authorId="0" shapeId="0">
      <text>
        <t>Source: Board meeting minutes; capture final decision, accountable owner and verifiable evidence.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J33"/>
  <sheetViews>
    <sheetView showGridLines="0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18" customWidth="1" min="4" max="4"/>
    <col width="48" customWidth="1" min="5" max="5"/>
    <col width="24" customWidth="1" min="6" max="6"/>
    <col width="14" customWidth="1" min="7" max="7"/>
    <col width="17" customWidth="1" min="8" max="8"/>
    <col width="18" customWidth="1" min="9" max="9"/>
    <col width="35" customWidth="1" min="10" max="10"/>
  </cols>
  <sheetData>
    <row r="1"/>
    <row r="2"/>
    <row r="3">
      <c r="C3" s="1" t="inlineStr">
        <is>
          <t>Engineering KPI Board Pack — Inputs</t>
        </is>
      </c>
    </row>
    <row r="4"/>
    <row r="5">
      <c r="C5" s="2" t="inlineStr">
        <is>
          <t>Blue-font cells are hardcoded operational inputs; targets require Board or management approval.</t>
        </is>
      </c>
    </row>
    <row r="6">
      <c r="C6" s="3" t="inlineStr">
        <is>
          <t>(Values are intentionally blank; populate only with validated actual data.)</t>
        </is>
      </c>
    </row>
    <row r="7"/>
    <row r="8">
      <c r="C8" s="4" t="inlineStr">
        <is>
          <t>Reporting control</t>
        </is>
      </c>
      <c r="D8" s="5" t="n"/>
      <c r="E8" s="5" t="n"/>
      <c r="F8" s="5" t="n"/>
      <c r="G8" s="5" t="n"/>
      <c r="H8" s="5" t="n"/>
      <c r="I8" s="5" t="n"/>
      <c r="J8" s="5" t="n"/>
    </row>
    <row r="9">
      <c r="C9" s="6" t="inlineStr">
        <is>
          <t>Field</t>
        </is>
      </c>
      <c r="D9" s="6" t="inlineStr">
        <is>
          <t>Value</t>
        </is>
      </c>
      <c r="E9" s="6" t="inlineStr">
        <is>
          <t>Source / definition</t>
        </is>
      </c>
      <c r="F9" s="6" t="inlineStr">
        <is>
          <t>Data owner</t>
        </is>
      </c>
      <c r="G9" s="5" t="n"/>
      <c r="H9" s="5" t="n"/>
      <c r="I9" s="5" t="n"/>
      <c r="J9" s="5" t="n"/>
    </row>
    <row r="10">
      <c r="C10" s="5" t="inlineStr">
        <is>
          <t>Reporting month</t>
        </is>
      </c>
      <c r="D10" s="7" t="inlineStr">
        <is>
          <t>e.g., 2026-08</t>
        </is>
      </c>
      <c r="E10" s="5" t="inlineStr">
        <is>
          <t>Board reporting calendar</t>
        </is>
      </c>
      <c r="F10" s="5" t="inlineStr">
        <is>
          <t>Board Ops</t>
        </is>
      </c>
      <c r="G10" s="5" t="n"/>
      <c r="H10" s="5" t="n"/>
      <c r="I10" s="5" t="n"/>
      <c r="J10" s="5" t="n"/>
    </row>
    <row r="11">
      <c r="C11" s="5" t="inlineStr">
        <is>
          <t>Data cut-off date</t>
        </is>
      </c>
      <c r="D11" s="7" t="n"/>
      <c r="E11" s="5" t="inlineStr">
        <is>
          <t>Timestamp after which data cannot change without restatement</t>
        </is>
      </c>
      <c r="F11" s="5" t="inlineStr">
        <is>
          <t>Data/Operations</t>
        </is>
      </c>
      <c r="G11" s="5" t="n"/>
      <c r="H11" s="5" t="n"/>
      <c r="I11" s="5" t="n"/>
      <c r="J11" s="5" t="n"/>
    </row>
    <row r="12">
      <c r="C12" s="5" t="inlineStr">
        <is>
          <t>Data-quality reviewer</t>
        </is>
      </c>
      <c r="D12" s="7" t="n"/>
      <c r="E12" s="5" t="inlineStr">
        <is>
          <t>Person accountable for completeness, freshness and reconciliation</t>
        </is>
      </c>
      <c r="F12" s="5" t="inlineStr">
        <is>
          <t>CTO delegate</t>
        </is>
      </c>
      <c r="G12" s="5" t="n"/>
      <c r="H12" s="5" t="n"/>
      <c r="I12" s="5" t="n"/>
      <c r="J12" s="5" t="n"/>
    </row>
    <row r="13">
      <c r="C13" s="5" t="inlineStr">
        <is>
          <t>Baseline period</t>
        </is>
      </c>
      <c r="D13" s="7" t="n"/>
      <c r="E13" s="5" t="inlineStr">
        <is>
          <t>First approved measurement period for trend comparison</t>
        </is>
      </c>
      <c r="F13" s="5" t="inlineStr">
        <is>
          <t>CTO + Board</t>
        </is>
      </c>
      <c r="G13" s="5" t="n"/>
      <c r="H13" s="5" t="n"/>
      <c r="I13" s="5" t="n"/>
      <c r="J13" s="5" t="n"/>
    </row>
    <row r="14"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C16" s="4" t="inlineStr">
        <is>
          <t>KPI data-entry table</t>
        </is>
      </c>
      <c r="D16" s="5" t="n"/>
      <c r="E16" s="5" t="n"/>
      <c r="F16" s="5" t="n"/>
      <c r="G16" s="5" t="n"/>
      <c r="H16" s="5" t="n"/>
      <c r="I16" s="5" t="n"/>
      <c r="J16" s="5" t="n"/>
    </row>
    <row r="17">
      <c r="C17" s="6" t="inlineStr">
        <is>
          <t>KPI</t>
        </is>
      </c>
      <c r="D17" s="6" t="inlineStr">
        <is>
          <t>Direction</t>
        </is>
      </c>
      <c r="E17" s="6" t="inlineStr">
        <is>
          <t>Actual — prior month</t>
        </is>
      </c>
      <c r="F17" s="6" t="inlineStr">
        <is>
          <t>Actual — current month</t>
        </is>
      </c>
      <c r="G17" s="6" t="inlineStr">
        <is>
          <t>Board target</t>
        </is>
      </c>
      <c r="H17" s="6" t="inlineStr">
        <is>
          <t>Alert threshold</t>
        </is>
      </c>
      <c r="I17" s="6" t="inlineStr">
        <is>
          <t>Unit</t>
        </is>
      </c>
      <c r="J17" s="6" t="inlineStr">
        <is>
          <t>System of record</t>
        </is>
      </c>
    </row>
    <row r="18">
      <c r="C18" s="5" t="inlineStr">
        <is>
          <t>Regression pass rate</t>
        </is>
      </c>
      <c r="D18" s="7" t="inlineStr">
        <is>
          <t>Higher is better</t>
        </is>
      </c>
      <c r="E18" s="8" t="n"/>
      <c r="F18" s="8" t="n"/>
      <c r="G18" s="8" t="n"/>
      <c r="H18" s="8" t="n"/>
      <c r="I18" s="5" t="inlineStr">
        <is>
          <t>%</t>
        </is>
      </c>
      <c r="J18" s="5" t="inlineStr">
        <is>
          <t>CI / JUnit</t>
        </is>
      </c>
    </row>
    <row r="19">
      <c r="C19" s="5" t="inlineStr">
        <is>
          <t>SAST coverage of in-scope paths</t>
        </is>
      </c>
      <c r="D19" s="7" t="inlineStr">
        <is>
          <t>Higher is better</t>
        </is>
      </c>
      <c r="E19" s="8" t="n"/>
      <c r="F19" s="8" t="n"/>
      <c r="G19" s="8" t="n"/>
      <c r="H19" s="8" t="n"/>
      <c r="I19" s="5" t="inlineStr">
        <is>
          <t>%</t>
        </is>
      </c>
      <c r="J19" s="5" t="inlineStr">
        <is>
          <t>Local SAST + CI/SARIF</t>
        </is>
      </c>
    </row>
    <row r="20">
      <c r="C20" s="5" t="inlineStr">
        <is>
          <t>Confirmed high-severity security incidents</t>
        </is>
      </c>
      <c r="D20" s="7" t="inlineStr">
        <is>
          <t>Lower is better</t>
        </is>
      </c>
      <c r="E20" s="9" t="n"/>
      <c r="F20" s="9" t="n"/>
      <c r="G20" s="9" t="n"/>
      <c r="H20" s="9" t="n"/>
      <c r="I20" s="5" t="inlineStr">
        <is>
          <t>count</t>
        </is>
      </c>
      <c r="J20" s="5" t="inlineStr">
        <is>
          <t>Incident register</t>
        </is>
      </c>
    </row>
    <row r="21">
      <c r="C21" s="5" t="inlineStr">
        <is>
          <t>Open critical security-alert aging</t>
        </is>
      </c>
      <c r="D21" s="7" t="inlineStr">
        <is>
          <t>Lower is better</t>
        </is>
      </c>
      <c r="E21" s="9" t="n"/>
      <c r="F21" s="9" t="n"/>
      <c r="G21" s="9" t="n"/>
      <c r="H21" s="9" t="n"/>
      <c r="I21" s="5" t="inlineStr">
        <is>
          <t>days</t>
        </is>
      </c>
      <c r="J21" s="5" t="inlineStr">
        <is>
          <t>Security backlog</t>
        </is>
      </c>
    </row>
    <row r="22">
      <c r="C22" s="5" t="inlineStr">
        <is>
          <t>Lead time for change (median)</t>
        </is>
      </c>
      <c r="D22" s="7" t="inlineStr">
        <is>
          <t>Lower is better</t>
        </is>
      </c>
      <c r="E22" s="10" t="n"/>
      <c r="F22" s="10" t="n"/>
      <c r="G22" s="10" t="n"/>
      <c r="H22" s="10" t="n"/>
      <c r="I22" s="5" t="inlineStr">
        <is>
          <t>hours/days</t>
        </is>
      </c>
      <c r="J22" s="5" t="inlineStr">
        <is>
          <t>GitHub + CI/CD</t>
        </is>
      </c>
    </row>
    <row r="23">
      <c r="C23" s="5" t="inlineStr">
        <is>
          <t>Deployment frequency</t>
        </is>
      </c>
      <c r="D23" s="7" t="inlineStr">
        <is>
          <t>Higher is better</t>
        </is>
      </c>
      <c r="E23" s="9" t="n"/>
      <c r="F23" s="9" t="n"/>
      <c r="G23" s="9" t="n"/>
      <c r="H23" s="9" t="n"/>
      <c r="I23" s="5" t="inlineStr">
        <is>
          <t>releases / month</t>
        </is>
      </c>
      <c r="J23" s="5" t="inlineStr">
        <is>
          <t>GitHub Releases + CI</t>
        </is>
      </c>
    </row>
    <row r="24">
      <c r="C24" s="5" t="inlineStr">
        <is>
          <t>Failed deployment recovery time (median)</t>
        </is>
      </c>
      <c r="D24" s="7" t="inlineStr">
        <is>
          <t>Lower is better</t>
        </is>
      </c>
      <c r="E24" s="10" t="n"/>
      <c r="F24" s="10" t="n"/>
      <c r="G24" s="10" t="n"/>
      <c r="H24" s="10" t="n"/>
      <c r="I24" s="5" t="inlineStr">
        <is>
          <t>hours</t>
        </is>
      </c>
      <c r="J24" s="5" t="inlineStr">
        <is>
          <t>Incident register + CI</t>
        </is>
      </c>
    </row>
    <row r="25">
      <c r="C25" s="5" t="inlineStr">
        <is>
          <t>Change fail rate</t>
        </is>
      </c>
      <c r="D25" s="7" t="inlineStr">
        <is>
          <t>Lower is better</t>
        </is>
      </c>
      <c r="E25" s="8" t="n"/>
      <c r="F25" s="8" t="n"/>
      <c r="G25" s="8" t="n"/>
      <c r="H25" s="8" t="n"/>
      <c r="I25" s="5" t="inlineStr">
        <is>
          <t>%</t>
        </is>
      </c>
      <c r="J25" s="5" t="inlineStr">
        <is>
          <t>Release register + incidents</t>
        </is>
      </c>
    </row>
    <row r="26">
      <c r="C26" s="5" t="inlineStr">
        <is>
          <t>Headcount vs. approved plan</t>
        </is>
      </c>
      <c r="D26" s="7" t="inlineStr">
        <is>
          <t>Higher is better</t>
        </is>
      </c>
      <c r="E26" s="8" t="n"/>
      <c r="F26" s="8" t="n"/>
      <c r="G26" s="8" t="n"/>
      <c r="H26" s="8" t="n"/>
      <c r="I26" s="5" t="inlineStr">
        <is>
          <t>%</t>
        </is>
      </c>
      <c r="J26" s="5" t="inlineStr">
        <is>
          <t>HRIS + hiring plan</t>
        </is>
      </c>
    </row>
    <row r="27">
      <c r="C27" s="5" t="inlineStr">
        <is>
          <t>Time to hire (median)</t>
        </is>
      </c>
      <c r="D27" s="7" t="inlineStr">
        <is>
          <t>Lower is better</t>
        </is>
      </c>
      <c r="E27" s="9" t="n"/>
      <c r="F27" s="9" t="n"/>
      <c r="G27" s="9" t="n"/>
      <c r="H27" s="9" t="n"/>
      <c r="I27" s="5" t="inlineStr">
        <is>
          <t>days</t>
        </is>
      </c>
      <c r="J27" s="5" t="inlineStr">
        <is>
          <t>ATS</t>
        </is>
      </c>
    </row>
    <row r="28">
      <c r="C28" s="5" t="inlineStr">
        <is>
          <t>Regretted attrition (rolling 12 months)</t>
        </is>
      </c>
      <c r="D28" s="7" t="inlineStr">
        <is>
          <t>Lower is better</t>
        </is>
      </c>
      <c r="E28" s="8" t="n"/>
      <c r="F28" s="8" t="n"/>
      <c r="G28" s="8" t="n"/>
      <c r="H28" s="8" t="n"/>
      <c r="I28" s="5" t="inlineStr">
        <is>
          <t>%</t>
        </is>
      </c>
      <c r="J28" s="5" t="inlineStr">
        <is>
          <t>HRIS + exit interviews</t>
        </is>
      </c>
    </row>
    <row r="29">
      <c r="C29" s="5" t="inlineStr">
        <is>
          <t>Pilot-customer health score</t>
        </is>
      </c>
      <c r="D29" s="7" t="inlineStr">
        <is>
          <t>Higher is better</t>
        </is>
      </c>
      <c r="E29" s="8" t="n"/>
      <c r="F29" s="8" t="n"/>
      <c r="G29" s="8" t="n"/>
      <c r="H29" s="8" t="n"/>
      <c r="I29" s="5" t="inlineStr">
        <is>
          <t>%</t>
        </is>
      </c>
      <c r="J29" s="5" t="inlineStr">
        <is>
          <t>CRM + product telemetry + support</t>
        </is>
      </c>
    </row>
    <row r="30">
      <c r="C30" s="5" t="inlineStr">
        <is>
          <t>Key-feature adoption</t>
        </is>
      </c>
      <c r="D30" s="7" t="inlineStr">
        <is>
          <t>Higher is better</t>
        </is>
      </c>
      <c r="E30" s="8" t="n"/>
      <c r="F30" s="8" t="n"/>
      <c r="G30" s="8" t="n"/>
      <c r="H30" s="8" t="n"/>
      <c r="I30" s="5" t="inlineStr">
        <is>
          <t>%</t>
        </is>
      </c>
      <c r="J30" s="5" t="inlineStr">
        <is>
          <t>Opt-in product telemetry</t>
        </is>
      </c>
    </row>
    <row r="31">
      <c r="C31" s="5" t="inlineStr">
        <is>
          <t>Bug-prediction precision</t>
        </is>
      </c>
      <c r="D31" s="7" t="inlineStr">
        <is>
          <t>Higher is better</t>
        </is>
      </c>
      <c r="E31" s="8" t="n"/>
      <c r="F31" s="8" t="n"/>
      <c r="G31" s="8" t="n"/>
      <c r="H31" s="8" t="n"/>
      <c r="I31" s="5" t="inlineStr">
        <is>
          <t>%</t>
        </is>
      </c>
      <c r="J31" s="5" t="inlineStr">
        <is>
          <t>Human-reviewed evaluation dataset</t>
        </is>
      </c>
    </row>
    <row r="32">
      <c r="C32" s="5" t="inlineStr">
        <is>
          <t>Bug-prediction recall</t>
        </is>
      </c>
      <c r="D32" s="7" t="inlineStr">
        <is>
          <t>Higher is better</t>
        </is>
      </c>
      <c r="E32" s="8" t="n"/>
      <c r="F32" s="8" t="n"/>
      <c r="G32" s="8" t="n"/>
      <c r="H32" s="8" t="n"/>
      <c r="I32" s="5" t="inlineStr">
        <is>
          <t>%</t>
        </is>
      </c>
      <c r="J32" s="5" t="inlineStr">
        <is>
          <t>Curated ground-truth dataset</t>
        </is>
      </c>
    </row>
    <row r="33">
      <c r="C33" s="5" t="inlineStr">
        <is>
          <t>Unactionable AI finding rate</t>
        </is>
      </c>
      <c r="D33" s="7" t="inlineStr">
        <is>
          <t>Lower is better</t>
        </is>
      </c>
      <c r="E33" s="8" t="n"/>
      <c r="F33" s="8" t="n"/>
      <c r="G33" s="8" t="n"/>
      <c r="H33" s="8" t="n"/>
      <c r="I33" s="5" t="inlineStr">
        <is>
          <t>%</t>
        </is>
      </c>
      <c r="J33" s="5" t="inlineStr">
        <is>
          <t>Review labels + customer feedback</t>
        </is>
      </c>
    </row>
  </sheetData>
  <mergeCells count="3">
    <mergeCell ref="C3:J3"/>
    <mergeCell ref="C8:J8"/>
    <mergeCell ref="C16:J16"/>
  </mergeCells>
  <pageMargins left="0.75" right="0.75" top="1" bottom="1" header="0.5" footer="0.5"/>
  <pageSetup orientation="landscape" fitToHeight="0" fitToWidth="1"/>
  <headerFooter>
    <oddHeader/>
    <oddFooter>&amp;C&amp;A |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J31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13" customWidth="1" min="4" max="4"/>
    <col width="13" customWidth="1" min="5" max="5"/>
    <col width="15" customWidth="1" min="6" max="6"/>
    <col width="14" customWidth="1" min="7" max="7"/>
    <col width="17" customWidth="1" min="8" max="8"/>
    <col width="48" customWidth="1" min="9" max="9"/>
    <col width="48" customWidth="1" min="10" max="10"/>
  </cols>
  <sheetData>
    <row r="1"/>
    <row r="2"/>
    <row r="3">
      <c r="C3" s="1" t="inlineStr">
        <is>
          <t>Engineering KPI Dashboard</t>
        </is>
      </c>
    </row>
    <row r="4"/>
    <row r="5">
      <c r="C5" s="2" t="inlineStr">
        <is>
          <t>Formula-based month-on-month dashboard; does not calculate a status until actuals and approved thresholds are entered.</t>
        </is>
      </c>
    </row>
    <row r="6">
      <c r="C6" s="3" t="inlineStr">
        <is>
          <t>(Green-font values are linked from Inputs; status formulas are black.)</t>
        </is>
      </c>
    </row>
    <row r="7"/>
    <row r="8">
      <c r="C8" s="4" t="inlineStr">
        <is>
          <t>Scorecard</t>
        </is>
      </c>
      <c r="D8" s="5" t="n"/>
      <c r="E8" s="5" t="n"/>
      <c r="F8" s="5" t="n"/>
      <c r="G8" s="5" t="n"/>
      <c r="H8" s="5" t="n"/>
      <c r="I8" s="5" t="n"/>
      <c r="J8" s="5" t="n"/>
    </row>
    <row r="9">
      <c r="C9" s="6" t="inlineStr">
        <is>
          <t>KPI</t>
        </is>
      </c>
      <c r="D9" s="6" t="inlineStr">
        <is>
          <t>Direction</t>
        </is>
      </c>
      <c r="E9" s="6" t="inlineStr">
        <is>
          <t>Prior month</t>
        </is>
      </c>
      <c r="F9" s="6" t="inlineStr">
        <is>
          <t>Current month</t>
        </is>
      </c>
      <c r="G9" s="6" t="inlineStr">
        <is>
          <t>Board target</t>
        </is>
      </c>
      <c r="H9" s="6" t="inlineStr">
        <is>
          <t>Alert threshold</t>
        </is>
      </c>
      <c r="I9" s="6" t="inlineStr">
        <is>
          <t>Variance vs. target</t>
        </is>
      </c>
      <c r="J9" s="6" t="inlineStr">
        <is>
          <t>Status</t>
        </is>
      </c>
    </row>
    <row r="10">
      <c r="C10" s="11">
        <f>Inputs!C18</f>
        <v/>
      </c>
      <c r="D10" s="11">
        <f>Inputs!D18</f>
        <v/>
      </c>
      <c r="E10" s="12">
        <f>Inputs!E18</f>
        <v/>
      </c>
      <c r="F10" s="12">
        <f>Inputs!F18</f>
        <v/>
      </c>
      <c r="G10" s="12">
        <f>Inputs!G18</f>
        <v/>
      </c>
      <c r="H10" s="12">
        <f>Inputs!H18</f>
        <v/>
      </c>
      <c r="I10" s="13">
        <f>IF(OR(NOT(ISNUMBER(F10)),NOT(ISNUMBER(G10))),"",F10-G10)</f>
        <v/>
      </c>
      <c r="J10" s="14">
        <f>IF(OR(NOT(ISNUMBER(F10)),NOT(ISNUMBER(G10)),NOT(ISNUMBER(H10))),"DATA REQUIRED",IF(D10="Higher is better",IF(F10&gt;=G10,"GREEN",IF(F10&gt;=H10,"YELLOW","RED")),IF(F10&lt;=G10,"GREEN",IF(F10&lt;=H10,"YELLOW","RED"))))</f>
        <v/>
      </c>
    </row>
    <row r="11">
      <c r="C11" s="11">
        <f>Inputs!C19</f>
        <v/>
      </c>
      <c r="D11" s="11">
        <f>Inputs!D19</f>
        <v/>
      </c>
      <c r="E11" s="12">
        <f>Inputs!E19</f>
        <v/>
      </c>
      <c r="F11" s="12">
        <f>Inputs!F19</f>
        <v/>
      </c>
      <c r="G11" s="12">
        <f>Inputs!G19</f>
        <v/>
      </c>
      <c r="H11" s="12">
        <f>Inputs!H19</f>
        <v/>
      </c>
      <c r="I11" s="13">
        <f>IF(OR(NOT(ISNUMBER(F11)),NOT(ISNUMBER(G11))),"",F11-G11)</f>
        <v/>
      </c>
      <c r="J11" s="14">
        <f>IF(OR(NOT(ISNUMBER(F11)),NOT(ISNUMBER(G11)),NOT(ISNUMBER(H11))),"DATA REQUIRED",IF(D11="Higher is better",IF(F11&gt;=G11,"GREEN",IF(F11&gt;=H11,"YELLOW","RED")),IF(F11&lt;=G11,"GREEN",IF(F11&lt;=H11,"YELLOW","RED"))))</f>
        <v/>
      </c>
    </row>
    <row r="12">
      <c r="C12" s="11">
        <f>Inputs!C20</f>
        <v/>
      </c>
      <c r="D12" s="11">
        <f>Inputs!D20</f>
        <v/>
      </c>
      <c r="E12" s="15">
        <f>Inputs!E20</f>
        <v/>
      </c>
      <c r="F12" s="15">
        <f>Inputs!F20</f>
        <v/>
      </c>
      <c r="G12" s="15">
        <f>Inputs!G20</f>
        <v/>
      </c>
      <c r="H12" s="15">
        <f>Inputs!H20</f>
        <v/>
      </c>
      <c r="I12" s="16">
        <f>IF(OR(NOT(ISNUMBER(F12)),NOT(ISNUMBER(G12))),"",F12-G12)</f>
        <v/>
      </c>
      <c r="J12" s="14">
        <f>IF(OR(NOT(ISNUMBER(F12)),NOT(ISNUMBER(G12)),NOT(ISNUMBER(H12))),"DATA REQUIRED",IF(D12="Higher is better",IF(F12&gt;=G12,"GREEN",IF(F12&gt;=H12,"YELLOW","RED")),IF(F12&lt;=G12,"GREEN",IF(F12&lt;=H12,"YELLOW","RED"))))</f>
        <v/>
      </c>
    </row>
    <row r="13">
      <c r="C13" s="11">
        <f>Inputs!C21</f>
        <v/>
      </c>
      <c r="D13" s="11">
        <f>Inputs!D21</f>
        <v/>
      </c>
      <c r="E13" s="15">
        <f>Inputs!E21</f>
        <v/>
      </c>
      <c r="F13" s="15">
        <f>Inputs!F21</f>
        <v/>
      </c>
      <c r="G13" s="15">
        <f>Inputs!G21</f>
        <v/>
      </c>
      <c r="H13" s="15">
        <f>Inputs!H21</f>
        <v/>
      </c>
      <c r="I13" s="16">
        <f>IF(OR(NOT(ISNUMBER(F13)),NOT(ISNUMBER(G13))),"",F13-G13)</f>
        <v/>
      </c>
      <c r="J13" s="14">
        <f>IF(OR(NOT(ISNUMBER(F13)),NOT(ISNUMBER(G13)),NOT(ISNUMBER(H13))),"DATA REQUIRED",IF(D13="Higher is better",IF(F13&gt;=G13,"GREEN",IF(F13&gt;=H13,"YELLOW","RED")),IF(F13&lt;=G13,"GREEN",IF(F13&lt;=H13,"YELLOW","RED"))))</f>
        <v/>
      </c>
    </row>
    <row r="14">
      <c r="C14" s="11">
        <f>Inputs!C22</f>
        <v/>
      </c>
      <c r="D14" s="11">
        <f>Inputs!D22</f>
        <v/>
      </c>
      <c r="E14" s="17">
        <f>Inputs!E22</f>
        <v/>
      </c>
      <c r="F14" s="17">
        <f>Inputs!F22</f>
        <v/>
      </c>
      <c r="G14" s="17">
        <f>Inputs!G22</f>
        <v/>
      </c>
      <c r="H14" s="17">
        <f>Inputs!H22</f>
        <v/>
      </c>
      <c r="I14" s="18">
        <f>IF(OR(NOT(ISNUMBER(F14)),NOT(ISNUMBER(G14))),"",F14-G14)</f>
        <v/>
      </c>
      <c r="J14" s="14">
        <f>IF(OR(NOT(ISNUMBER(F14)),NOT(ISNUMBER(G14)),NOT(ISNUMBER(H14))),"DATA REQUIRED",IF(D14="Higher is better",IF(F14&gt;=G14,"GREEN",IF(F14&gt;=H14,"YELLOW","RED")),IF(F14&lt;=G14,"GREEN",IF(F14&lt;=H14,"YELLOW","RED"))))</f>
        <v/>
      </c>
    </row>
    <row r="15">
      <c r="C15" s="11">
        <f>Inputs!C23</f>
        <v/>
      </c>
      <c r="D15" s="11">
        <f>Inputs!D23</f>
        <v/>
      </c>
      <c r="E15" s="15">
        <f>Inputs!E23</f>
        <v/>
      </c>
      <c r="F15" s="15">
        <f>Inputs!F23</f>
        <v/>
      </c>
      <c r="G15" s="15">
        <f>Inputs!G23</f>
        <v/>
      </c>
      <c r="H15" s="15">
        <f>Inputs!H23</f>
        <v/>
      </c>
      <c r="I15" s="16">
        <f>IF(OR(NOT(ISNUMBER(F15)),NOT(ISNUMBER(G15))),"",F15-G15)</f>
        <v/>
      </c>
      <c r="J15" s="14">
        <f>IF(OR(NOT(ISNUMBER(F15)),NOT(ISNUMBER(G15)),NOT(ISNUMBER(H15))),"DATA REQUIRED",IF(D15="Higher is better",IF(F15&gt;=G15,"GREEN",IF(F15&gt;=H15,"YELLOW","RED")),IF(F15&lt;=G15,"GREEN",IF(F15&lt;=H15,"YELLOW","RED"))))</f>
        <v/>
      </c>
    </row>
    <row r="16">
      <c r="C16" s="11">
        <f>Inputs!C24</f>
        <v/>
      </c>
      <c r="D16" s="11">
        <f>Inputs!D24</f>
        <v/>
      </c>
      <c r="E16" s="17">
        <f>Inputs!E24</f>
        <v/>
      </c>
      <c r="F16" s="17">
        <f>Inputs!F24</f>
        <v/>
      </c>
      <c r="G16" s="17">
        <f>Inputs!G24</f>
        <v/>
      </c>
      <c r="H16" s="17">
        <f>Inputs!H24</f>
        <v/>
      </c>
      <c r="I16" s="18">
        <f>IF(OR(NOT(ISNUMBER(F16)),NOT(ISNUMBER(G16))),"",F16-G16)</f>
        <v/>
      </c>
      <c r="J16" s="14">
        <f>IF(OR(NOT(ISNUMBER(F16)),NOT(ISNUMBER(G16)),NOT(ISNUMBER(H16))),"DATA REQUIRED",IF(D16="Higher is better",IF(F16&gt;=G16,"GREEN",IF(F16&gt;=H16,"YELLOW","RED")),IF(F16&lt;=G16,"GREEN",IF(F16&lt;=H16,"YELLOW","RED"))))</f>
        <v/>
      </c>
    </row>
    <row r="17">
      <c r="C17" s="11">
        <f>Inputs!C25</f>
        <v/>
      </c>
      <c r="D17" s="11">
        <f>Inputs!D25</f>
        <v/>
      </c>
      <c r="E17" s="12">
        <f>Inputs!E25</f>
        <v/>
      </c>
      <c r="F17" s="12">
        <f>Inputs!F25</f>
        <v/>
      </c>
      <c r="G17" s="12">
        <f>Inputs!G25</f>
        <v/>
      </c>
      <c r="H17" s="12">
        <f>Inputs!H25</f>
        <v/>
      </c>
      <c r="I17" s="13">
        <f>IF(OR(NOT(ISNUMBER(F17)),NOT(ISNUMBER(G17))),"",F17-G17)</f>
        <v/>
      </c>
      <c r="J17" s="14">
        <f>IF(OR(NOT(ISNUMBER(F17)),NOT(ISNUMBER(G17)),NOT(ISNUMBER(H17))),"DATA REQUIRED",IF(D17="Higher is better",IF(F17&gt;=G17,"GREEN",IF(F17&gt;=H17,"YELLOW","RED")),IF(F17&lt;=G17,"GREEN",IF(F17&lt;=H17,"YELLOW","RED"))))</f>
        <v/>
      </c>
    </row>
    <row r="18">
      <c r="C18" s="11">
        <f>Inputs!C26</f>
        <v/>
      </c>
      <c r="D18" s="11">
        <f>Inputs!D26</f>
        <v/>
      </c>
      <c r="E18" s="12">
        <f>Inputs!E26</f>
        <v/>
      </c>
      <c r="F18" s="12">
        <f>Inputs!F26</f>
        <v/>
      </c>
      <c r="G18" s="12">
        <f>Inputs!G26</f>
        <v/>
      </c>
      <c r="H18" s="12">
        <f>Inputs!H26</f>
        <v/>
      </c>
      <c r="I18" s="13">
        <f>IF(OR(NOT(ISNUMBER(F18)),NOT(ISNUMBER(G18))),"",F18-G18)</f>
        <v/>
      </c>
      <c r="J18" s="14">
        <f>IF(OR(NOT(ISNUMBER(F18)),NOT(ISNUMBER(G18)),NOT(ISNUMBER(H18))),"DATA REQUIRED",IF(D18="Higher is better",IF(F18&gt;=G18,"GREEN",IF(F18&gt;=H18,"YELLOW","RED")),IF(F18&lt;=G18,"GREEN",IF(F18&lt;=H18,"YELLOW","RED"))))</f>
        <v/>
      </c>
    </row>
    <row r="19">
      <c r="C19" s="11">
        <f>Inputs!C27</f>
        <v/>
      </c>
      <c r="D19" s="11">
        <f>Inputs!D27</f>
        <v/>
      </c>
      <c r="E19" s="15">
        <f>Inputs!E27</f>
        <v/>
      </c>
      <c r="F19" s="15">
        <f>Inputs!F27</f>
        <v/>
      </c>
      <c r="G19" s="15">
        <f>Inputs!G27</f>
        <v/>
      </c>
      <c r="H19" s="15">
        <f>Inputs!H27</f>
        <v/>
      </c>
      <c r="I19" s="16">
        <f>IF(OR(NOT(ISNUMBER(F19)),NOT(ISNUMBER(G19))),"",F19-G19)</f>
        <v/>
      </c>
      <c r="J19" s="14">
        <f>IF(OR(NOT(ISNUMBER(F19)),NOT(ISNUMBER(G19)),NOT(ISNUMBER(H19))),"DATA REQUIRED",IF(D19="Higher is better",IF(F19&gt;=G19,"GREEN",IF(F19&gt;=H19,"YELLOW","RED")),IF(F19&lt;=G19,"GREEN",IF(F19&lt;=H19,"YELLOW","RED"))))</f>
        <v/>
      </c>
    </row>
    <row r="20">
      <c r="C20" s="11">
        <f>Inputs!C28</f>
        <v/>
      </c>
      <c r="D20" s="11">
        <f>Inputs!D28</f>
        <v/>
      </c>
      <c r="E20" s="12">
        <f>Inputs!E28</f>
        <v/>
      </c>
      <c r="F20" s="12">
        <f>Inputs!F28</f>
        <v/>
      </c>
      <c r="G20" s="12">
        <f>Inputs!G28</f>
        <v/>
      </c>
      <c r="H20" s="12">
        <f>Inputs!H28</f>
        <v/>
      </c>
      <c r="I20" s="13">
        <f>IF(OR(NOT(ISNUMBER(F20)),NOT(ISNUMBER(G20))),"",F20-G20)</f>
        <v/>
      </c>
      <c r="J20" s="14">
        <f>IF(OR(NOT(ISNUMBER(F20)),NOT(ISNUMBER(G20)),NOT(ISNUMBER(H20))),"DATA REQUIRED",IF(D20="Higher is better",IF(F20&gt;=G20,"GREEN",IF(F20&gt;=H20,"YELLOW","RED")),IF(F20&lt;=G20,"GREEN",IF(F20&lt;=H20,"YELLOW","RED"))))</f>
        <v/>
      </c>
    </row>
    <row r="21">
      <c r="C21" s="11">
        <f>Inputs!C29</f>
        <v/>
      </c>
      <c r="D21" s="11">
        <f>Inputs!D29</f>
        <v/>
      </c>
      <c r="E21" s="12">
        <f>Inputs!E29</f>
        <v/>
      </c>
      <c r="F21" s="12">
        <f>Inputs!F29</f>
        <v/>
      </c>
      <c r="G21" s="12">
        <f>Inputs!G29</f>
        <v/>
      </c>
      <c r="H21" s="12">
        <f>Inputs!H29</f>
        <v/>
      </c>
      <c r="I21" s="13">
        <f>IF(OR(NOT(ISNUMBER(F21)),NOT(ISNUMBER(G21))),"",F21-G21)</f>
        <v/>
      </c>
      <c r="J21" s="14">
        <f>IF(OR(NOT(ISNUMBER(F21)),NOT(ISNUMBER(G21)),NOT(ISNUMBER(H21))),"DATA REQUIRED",IF(D21="Higher is better",IF(F21&gt;=G21,"GREEN",IF(F21&gt;=H21,"YELLOW","RED")),IF(F21&lt;=G21,"GREEN",IF(F21&lt;=H21,"YELLOW","RED"))))</f>
        <v/>
      </c>
    </row>
    <row r="22">
      <c r="C22" s="11">
        <f>Inputs!C30</f>
        <v/>
      </c>
      <c r="D22" s="11">
        <f>Inputs!D30</f>
        <v/>
      </c>
      <c r="E22" s="12">
        <f>Inputs!E30</f>
        <v/>
      </c>
      <c r="F22" s="12">
        <f>Inputs!F30</f>
        <v/>
      </c>
      <c r="G22" s="12">
        <f>Inputs!G30</f>
        <v/>
      </c>
      <c r="H22" s="12">
        <f>Inputs!H30</f>
        <v/>
      </c>
      <c r="I22" s="13">
        <f>IF(OR(NOT(ISNUMBER(F22)),NOT(ISNUMBER(G22))),"",F22-G22)</f>
        <v/>
      </c>
      <c r="J22" s="14">
        <f>IF(OR(NOT(ISNUMBER(F22)),NOT(ISNUMBER(G22)),NOT(ISNUMBER(H22))),"DATA REQUIRED",IF(D22="Higher is better",IF(F22&gt;=G22,"GREEN",IF(F22&gt;=H22,"YELLOW","RED")),IF(F22&lt;=G22,"GREEN",IF(F22&lt;=H22,"YELLOW","RED"))))</f>
        <v/>
      </c>
    </row>
    <row r="23">
      <c r="C23" s="11">
        <f>Inputs!C31</f>
        <v/>
      </c>
      <c r="D23" s="11">
        <f>Inputs!D31</f>
        <v/>
      </c>
      <c r="E23" s="12">
        <f>Inputs!E31</f>
        <v/>
      </c>
      <c r="F23" s="12">
        <f>Inputs!F31</f>
        <v/>
      </c>
      <c r="G23" s="12">
        <f>Inputs!G31</f>
        <v/>
      </c>
      <c r="H23" s="12">
        <f>Inputs!H31</f>
        <v/>
      </c>
      <c r="I23" s="13">
        <f>IF(OR(NOT(ISNUMBER(F23)),NOT(ISNUMBER(G23))),"",F23-G23)</f>
        <v/>
      </c>
      <c r="J23" s="14">
        <f>IF(OR(NOT(ISNUMBER(F23)),NOT(ISNUMBER(G23)),NOT(ISNUMBER(H23))),"DATA REQUIRED",IF(D23="Higher is better",IF(F23&gt;=G23,"GREEN",IF(F23&gt;=H23,"YELLOW","RED")),IF(F23&lt;=G23,"GREEN",IF(F23&lt;=H23,"YELLOW","RED"))))</f>
        <v/>
      </c>
    </row>
    <row r="24">
      <c r="C24" s="11">
        <f>Inputs!C32</f>
        <v/>
      </c>
      <c r="D24" s="11">
        <f>Inputs!D32</f>
        <v/>
      </c>
      <c r="E24" s="12">
        <f>Inputs!E32</f>
        <v/>
      </c>
      <c r="F24" s="12">
        <f>Inputs!F32</f>
        <v/>
      </c>
      <c r="G24" s="12">
        <f>Inputs!G32</f>
        <v/>
      </c>
      <c r="H24" s="12">
        <f>Inputs!H32</f>
        <v/>
      </c>
      <c r="I24" s="13">
        <f>IF(OR(NOT(ISNUMBER(F24)),NOT(ISNUMBER(G24))),"",F24-G24)</f>
        <v/>
      </c>
      <c r="J24" s="14">
        <f>IF(OR(NOT(ISNUMBER(F24)),NOT(ISNUMBER(G24)),NOT(ISNUMBER(H24))),"DATA REQUIRED",IF(D24="Higher is better",IF(F24&gt;=G24,"GREEN",IF(F24&gt;=H24,"YELLOW","RED")),IF(F24&lt;=G24,"GREEN",IF(F24&lt;=H24,"YELLOW","RED"))))</f>
        <v/>
      </c>
    </row>
    <row r="25">
      <c r="C25" s="11">
        <f>Inputs!C33</f>
        <v/>
      </c>
      <c r="D25" s="11">
        <f>Inputs!D33</f>
        <v/>
      </c>
      <c r="E25" s="12">
        <f>Inputs!E33</f>
        <v/>
      </c>
      <c r="F25" s="12">
        <f>Inputs!F33</f>
        <v/>
      </c>
      <c r="G25" s="12">
        <f>Inputs!G33</f>
        <v/>
      </c>
      <c r="H25" s="12">
        <f>Inputs!H33</f>
        <v/>
      </c>
      <c r="I25" s="13">
        <f>IF(OR(NOT(ISNUMBER(F25)),NOT(ISNUMBER(G25))),"",F25-G25)</f>
        <v/>
      </c>
      <c r="J25" s="14">
        <f>IF(OR(NOT(ISNUMBER(F25)),NOT(ISNUMBER(G25)),NOT(ISNUMBER(H25))),"DATA REQUIRED",IF(D25="Higher is better",IF(F25&gt;=G25,"GREEN",IF(F25&gt;=H25,"YELLOW","RED")),IF(F25&lt;=G25,"GREEN",IF(F25&lt;=H25,"YELLOW","RED"))))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C29" s="4" t="inlineStr">
        <is>
          <t>Data governance note</t>
        </is>
      </c>
      <c r="D29" s="5" t="n"/>
      <c r="E29" s="5" t="n"/>
      <c r="F29" s="5" t="n"/>
      <c r="G29" s="5" t="n"/>
      <c r="H29" s="5" t="n"/>
      <c r="I29" s="5" t="n"/>
      <c r="J29" s="5" t="n"/>
    </row>
    <row r="30">
      <c r="C30" s="19" t="inlineStr">
        <is>
          <t>A GREEN status only means the entered actual met the approved threshold; it is not proof that the underlying KPI is well-defined or that the system has no risk.</t>
        </is>
      </c>
      <c r="D30" s="5" t="n"/>
      <c r="E30" s="5" t="n"/>
      <c r="F30" s="5" t="n"/>
      <c r="G30" s="5" t="n"/>
      <c r="H30" s="5" t="n"/>
      <c r="I30" s="5" t="n"/>
      <c r="J30" s="5" t="n"/>
    </row>
    <row r="31">
      <c r="C31" s="19" t="inlineStr">
        <is>
          <t>Review any YELLOW/RED KPI with a documented root cause, accountable owner, action date and Board decision request.</t>
        </is>
      </c>
      <c r="D31" s="5" t="n"/>
      <c r="E31" s="5" t="n"/>
      <c r="F31" s="5" t="n"/>
      <c r="G31" s="5" t="n"/>
      <c r="H31" s="5" t="n"/>
      <c r="I31" s="5" t="n"/>
      <c r="J31" s="5" t="n"/>
    </row>
  </sheetData>
  <mergeCells count="5">
    <mergeCell ref="C3:J3"/>
    <mergeCell ref="C29:J29"/>
    <mergeCell ref="C30:J30"/>
    <mergeCell ref="C31:J31"/>
    <mergeCell ref="C8:J8"/>
  </mergeCells>
  <conditionalFormatting sqref="J10:J25">
    <cfRule type="expression" priority="1" dxfId="0">
      <formula>J10="GREEN"</formula>
    </cfRule>
    <cfRule type="expression" priority="2" dxfId="1">
      <formula>J10="YELLOW"</formula>
    </cfRule>
    <cfRule type="expression" priority="3" dxfId="2">
      <formula>J10="RED"</formula>
    </cfRule>
  </conditionalFormatting>
  <pageMargins left="0.75" right="0.75" top="1" bottom="1" header="0.5" footer="0.5"/>
  <pageSetup orientation="landscape" fitToHeight="0" fitToWidth="1"/>
  <headerFooter>
    <oddHeader/>
    <oddFooter>&amp;C&amp;A |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J4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22" customWidth="1" min="4" max="4"/>
    <col width="22" customWidth="1" min="5" max="5"/>
    <col width="24" customWidth="1" min="6" max="6"/>
    <col width="19" customWidth="1" min="7" max="7"/>
    <col width="28" customWidth="1" min="8" max="8"/>
    <col width="10" customWidth="1" min="9" max="9"/>
    <col width="10" customWidth="1" min="10" max="10"/>
  </cols>
  <sheetData>
    <row r="1"/>
    <row r="2"/>
    <row r="3">
      <c r="C3" s="1" t="inlineStr">
        <is>
          <t>Monthly Engineering Board Pack</t>
        </is>
      </c>
    </row>
    <row r="4"/>
    <row r="5">
      <c r="C5" s="2" t="inlineStr">
        <is>
          <t>Decision-oriented template for the AI-Code-Reviewer Enterprise 12-month engineering roadmap.</t>
        </is>
      </c>
    </row>
    <row r="6">
      <c r="C6" s="3" t="inlineStr">
        <is>
          <t>(Populate narrative fields after dashboard data quality review.)</t>
        </is>
      </c>
    </row>
    <row r="7"/>
    <row r="8">
      <c r="C8" s="4" t="inlineStr">
        <is>
          <t>A. Executive decision log</t>
        </is>
      </c>
      <c r="D8" s="5" t="n"/>
      <c r="E8" s="5" t="n"/>
      <c r="F8" s="5" t="n"/>
      <c r="G8" s="5" t="n"/>
      <c r="H8" s="5" t="n"/>
      <c r="I8" s="5" t="n"/>
      <c r="J8" s="5" t="n"/>
    </row>
    <row r="9">
      <c r="C9" s="6" t="inlineStr">
        <is>
          <t>Area</t>
        </is>
      </c>
      <c r="D9" s="6" t="inlineStr">
        <is>
          <t>Status</t>
        </is>
      </c>
      <c r="E9" s="6" t="inlineStr">
        <is>
          <t>Decision requested</t>
        </is>
      </c>
      <c r="F9" s="6" t="inlineStr">
        <is>
          <t>Accountable owner</t>
        </is>
      </c>
      <c r="G9" s="6" t="inlineStr">
        <is>
          <t>Decision due</t>
        </is>
      </c>
      <c r="H9" s="6" t="inlineStr">
        <is>
          <t>Risk if delayed</t>
        </is>
      </c>
      <c r="I9" s="5" t="n"/>
      <c r="J9" s="5" t="n"/>
    </row>
    <row r="10">
      <c r="C10" s="5" t="inlineStr">
        <is>
          <t>Release quality</t>
        </is>
      </c>
      <c r="D10" s="7" t="n"/>
      <c r="E10" s="7" t="n"/>
      <c r="F10" s="7" t="n"/>
      <c r="G10" s="7" t="n"/>
      <c r="H10" s="7" t="n"/>
      <c r="I10" s="5" t="n"/>
      <c r="J10" s="5" t="n"/>
    </row>
    <row r="11">
      <c r="C11" s="5" t="inlineStr">
        <is>
          <t>Security / trust</t>
        </is>
      </c>
      <c r="D11" s="7" t="n"/>
      <c r="E11" s="7" t="n"/>
      <c r="F11" s="7" t="n"/>
      <c r="G11" s="7" t="n"/>
      <c r="H11" s="7" t="n"/>
      <c r="I11" s="5" t="n"/>
      <c r="J11" s="5" t="n"/>
    </row>
    <row r="12">
      <c r="C12" s="5" t="inlineStr">
        <is>
          <t>Velocity / operations</t>
        </is>
      </c>
      <c r="D12" s="7" t="n"/>
      <c r="E12" s="7" t="n"/>
      <c r="F12" s="7" t="n"/>
      <c r="G12" s="7" t="n"/>
      <c r="H12" s="7" t="n"/>
      <c r="I12" s="5" t="n"/>
      <c r="J12" s="5" t="n"/>
    </row>
    <row r="13">
      <c r="C13" s="5" t="inlineStr">
        <is>
          <t>Hiring / capability</t>
        </is>
      </c>
      <c r="D13" s="7" t="n"/>
      <c r="E13" s="7" t="n"/>
      <c r="F13" s="7" t="n"/>
      <c r="G13" s="7" t="n"/>
      <c r="H13" s="7" t="n"/>
      <c r="I13" s="5" t="n"/>
      <c r="J13" s="5" t="n"/>
    </row>
    <row r="14">
      <c r="C14" s="5" t="inlineStr">
        <is>
          <t>Pilot customer / product</t>
        </is>
      </c>
      <c r="D14" s="7" t="n"/>
      <c r="E14" s="7" t="n"/>
      <c r="F14" s="7" t="n"/>
      <c r="G14" s="7" t="n"/>
      <c r="H14" s="7" t="n"/>
      <c r="I14" s="5" t="n"/>
      <c r="J14" s="5" t="n"/>
    </row>
    <row r="15"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C17" s="4" t="inlineStr">
        <is>
          <t>B. KPI snapshot</t>
        </is>
      </c>
      <c r="D17" s="5" t="n"/>
      <c r="E17" s="5" t="n"/>
      <c r="F17" s="5" t="n"/>
      <c r="G17" s="5" t="n"/>
      <c r="H17" s="5" t="n"/>
      <c r="I17" s="5" t="n"/>
      <c r="J17" s="5" t="n"/>
    </row>
    <row r="18">
      <c r="C18" s="6" t="inlineStr">
        <is>
          <t>KPI</t>
        </is>
      </c>
      <c r="D18" s="6" t="inlineStr">
        <is>
          <t>Current month</t>
        </is>
      </c>
      <c r="E18" s="6" t="inlineStr">
        <is>
          <t>Board target</t>
        </is>
      </c>
      <c r="F18" s="6" t="inlineStr">
        <is>
          <t>Status</t>
        </is>
      </c>
      <c r="G18" s="6" t="inlineStr">
        <is>
          <t>Owner</t>
        </is>
      </c>
      <c r="H18" s="6" t="inlineStr">
        <is>
          <t>Root cause / 30-day action</t>
        </is>
      </c>
      <c r="I18" s="5" t="n"/>
      <c r="J18" s="5" t="n"/>
    </row>
    <row r="19">
      <c r="C19" s="11">
        <f>'KPI Dashboard'!C10</f>
        <v/>
      </c>
      <c r="D19" s="12">
        <f>'KPI Dashboard'!F10</f>
        <v/>
      </c>
      <c r="E19" s="12">
        <f>'KPI Dashboard'!G10</f>
        <v/>
      </c>
      <c r="F19" s="11">
        <f>'KPI Dashboard'!J10</f>
        <v/>
      </c>
      <c r="G19" s="5" t="inlineStr">
        <is>
          <t>QA Lead</t>
        </is>
      </c>
      <c r="H19" s="7" t="n"/>
      <c r="I19" s="5" t="n"/>
      <c r="J19" s="5" t="n"/>
    </row>
    <row r="20">
      <c r="C20" s="11">
        <f>'KPI Dashboard'!C11</f>
        <v/>
      </c>
      <c r="D20" s="12">
        <f>'KPI Dashboard'!F11</f>
        <v/>
      </c>
      <c r="E20" s="12">
        <f>'KPI Dashboard'!G11</f>
        <v/>
      </c>
      <c r="F20" s="11">
        <f>'KPI Dashboard'!J11</f>
        <v/>
      </c>
      <c r="G20" s="5" t="inlineStr">
        <is>
          <t>Security Engineer</t>
        </is>
      </c>
      <c r="H20" s="7" t="n"/>
      <c r="I20" s="5" t="n"/>
      <c r="J20" s="5" t="n"/>
    </row>
    <row r="21">
      <c r="C21" s="11">
        <f>'KPI Dashboard'!C12</f>
        <v/>
      </c>
      <c r="D21" s="15">
        <f>'KPI Dashboard'!F12</f>
        <v/>
      </c>
      <c r="E21" s="15">
        <f>'KPI Dashboard'!G12</f>
        <v/>
      </c>
      <c r="F21" s="11">
        <f>'KPI Dashboard'!J12</f>
        <v/>
      </c>
      <c r="G21" s="5" t="inlineStr">
        <is>
          <t>CTO + Security</t>
        </is>
      </c>
      <c r="H21" s="7" t="n"/>
      <c r="I21" s="5" t="n"/>
      <c r="J21" s="5" t="n"/>
    </row>
    <row r="22">
      <c r="C22" s="11">
        <f>'KPI Dashboard'!C14</f>
        <v/>
      </c>
      <c r="D22" s="17">
        <f>'KPI Dashboard'!F14</f>
        <v/>
      </c>
      <c r="E22" s="17">
        <f>'KPI Dashboard'!G14</f>
        <v/>
      </c>
      <c r="F22" s="11">
        <f>'KPI Dashboard'!J14</f>
        <v/>
      </c>
      <c r="G22" s="5" t="inlineStr">
        <is>
          <t>Engineering Lead</t>
        </is>
      </c>
      <c r="H22" s="7" t="n"/>
      <c r="I22" s="5" t="n"/>
      <c r="J22" s="5" t="n"/>
    </row>
    <row r="23">
      <c r="C23" s="11">
        <f>'KPI Dashboard'!C15</f>
        <v/>
      </c>
      <c r="D23" s="15">
        <f>'KPI Dashboard'!F15</f>
        <v/>
      </c>
      <c r="E23" s="15">
        <f>'KPI Dashboard'!G15</f>
        <v/>
      </c>
      <c r="F23" s="11">
        <f>'KPI Dashboard'!J15</f>
        <v/>
      </c>
      <c r="G23" s="5" t="inlineStr">
        <is>
          <t>DevOps Lead</t>
        </is>
      </c>
      <c r="H23" s="7" t="n"/>
      <c r="I23" s="5" t="n"/>
      <c r="J23" s="5" t="n"/>
    </row>
    <row r="24">
      <c r="C24" s="11">
        <f>'KPI Dashboard'!C18</f>
        <v/>
      </c>
      <c r="D24" s="12">
        <f>'KPI Dashboard'!F18</f>
        <v/>
      </c>
      <c r="E24" s="12">
        <f>'KPI Dashboard'!G18</f>
        <v/>
      </c>
      <c r="F24" s="11">
        <f>'KPI Dashboard'!J18</f>
        <v/>
      </c>
      <c r="G24" s="5" t="inlineStr">
        <is>
          <t>CTO + HR</t>
        </is>
      </c>
      <c r="H24" s="7" t="n"/>
      <c r="I24" s="5" t="n"/>
      <c r="J24" s="5" t="n"/>
    </row>
    <row r="25">
      <c r="C25" s="11">
        <f>'KPI Dashboard'!C21</f>
        <v/>
      </c>
      <c r="D25" s="12">
        <f>'KPI Dashboard'!F21</f>
        <v/>
      </c>
      <c r="E25" s="12">
        <f>'KPI Dashboard'!G21</f>
        <v/>
      </c>
      <c r="F25" s="11">
        <f>'KPI Dashboard'!J21</f>
        <v/>
      </c>
      <c r="G25" s="5" t="inlineStr">
        <is>
          <t>Product + CS</t>
        </is>
      </c>
      <c r="H25" s="7" t="n"/>
      <c r="I25" s="5" t="n"/>
      <c r="J25" s="5" t="n"/>
    </row>
    <row r="26">
      <c r="C26" s="11">
        <f>'KPI Dashboard'!C23</f>
        <v/>
      </c>
      <c r="D26" s="12">
        <f>'KPI Dashboard'!F23</f>
        <v/>
      </c>
      <c r="E26" s="12">
        <f>'KPI Dashboard'!G23</f>
        <v/>
      </c>
      <c r="F26" s="11">
        <f>'KPI Dashboard'!J23</f>
        <v/>
      </c>
      <c r="G26" s="5" t="inlineStr">
        <is>
          <t>AI Lead</t>
        </is>
      </c>
      <c r="H26" s="7" t="n"/>
      <c r="I26" s="5" t="n"/>
      <c r="J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C29" s="4" t="inlineStr">
        <is>
          <t>C. Roadmap milestones and risk escalation</t>
        </is>
      </c>
      <c r="D29" s="5" t="n"/>
      <c r="E29" s="5" t="n"/>
      <c r="F29" s="5" t="n"/>
      <c r="G29" s="5" t="n"/>
      <c r="H29" s="5" t="n"/>
      <c r="I29" s="5" t="n"/>
      <c r="J29" s="5" t="n"/>
    </row>
    <row r="30">
      <c r="C30" s="6" t="inlineStr">
        <is>
          <t>Workstream</t>
        </is>
      </c>
      <c r="D30" s="6" t="inlineStr">
        <is>
          <t>Milestone / evidence</t>
        </is>
      </c>
      <c r="E30" s="6" t="inlineStr">
        <is>
          <t>Status</t>
        </is>
      </c>
      <c r="F30" s="6" t="inlineStr">
        <is>
          <t>Risk / dependency</t>
        </is>
      </c>
      <c r="G30" s="6" t="inlineStr">
        <is>
          <t>Corrective action</t>
        </is>
      </c>
      <c r="H30" s="6" t="inlineStr">
        <is>
          <t>Owner</t>
        </is>
      </c>
      <c r="I30" s="5" t="n"/>
      <c r="J30" s="5" t="n"/>
    </row>
    <row r="31">
      <c r="C31" s="5" t="inlineStr">
        <is>
          <t>Engine / AI</t>
        </is>
      </c>
      <c r="D31" s="7" t="n"/>
      <c r="E31" s="7" t="n"/>
      <c r="F31" s="7" t="n"/>
      <c r="G31" s="7" t="n"/>
      <c r="H31" s="7" t="n"/>
      <c r="I31" s="5" t="n"/>
      <c r="J31" s="5" t="n"/>
    </row>
    <row r="32">
      <c r="C32" s="5" t="inlineStr">
        <is>
          <t>Desktop / UX</t>
        </is>
      </c>
      <c r="D32" s="7" t="n"/>
      <c r="E32" s="7" t="n"/>
      <c r="F32" s="7" t="n"/>
      <c r="G32" s="7" t="n"/>
      <c r="H32" s="7" t="n"/>
      <c r="I32" s="5" t="n"/>
      <c r="J32" s="5" t="n"/>
    </row>
    <row r="33">
      <c r="C33" s="5" t="inlineStr">
        <is>
          <t>Security / Trust</t>
        </is>
      </c>
      <c r="D33" s="7" t="n"/>
      <c r="E33" s="7" t="n"/>
      <c r="F33" s="7" t="n"/>
      <c r="G33" s="7" t="n"/>
      <c r="H33" s="7" t="n"/>
      <c r="I33" s="5" t="n"/>
      <c r="J33" s="5" t="n"/>
    </row>
    <row r="34">
      <c r="C34" s="5" t="inlineStr">
        <is>
          <t>CI/CD / Operations</t>
        </is>
      </c>
      <c r="D34" s="7" t="n"/>
      <c r="E34" s="7" t="n"/>
      <c r="F34" s="7" t="n"/>
      <c r="G34" s="7" t="n"/>
      <c r="H34" s="7" t="n"/>
      <c r="I34" s="5" t="n"/>
      <c r="J34" s="5" t="n"/>
    </row>
    <row r="35">
      <c r="C35" s="5" t="inlineStr">
        <is>
          <t>Talent / Team</t>
        </is>
      </c>
      <c r="D35" s="7" t="n"/>
      <c r="E35" s="7" t="n"/>
      <c r="F35" s="7" t="n"/>
      <c r="G35" s="7" t="n"/>
      <c r="H35" s="7" t="n"/>
      <c r="I35" s="5" t="n"/>
      <c r="J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C38" s="4" t="inlineStr">
        <is>
          <t>D. Meeting record</t>
        </is>
      </c>
      <c r="D38" s="5" t="n"/>
      <c r="E38" s="5" t="n"/>
      <c r="F38" s="5" t="n"/>
      <c r="G38" s="5" t="n"/>
      <c r="H38" s="5" t="n"/>
      <c r="I38" s="5" t="n"/>
      <c r="J38" s="5" t="n"/>
    </row>
    <row r="39">
      <c r="C39" s="6" t="inlineStr">
        <is>
          <t>Decision</t>
        </is>
      </c>
      <c r="D39" s="6" t="inlineStr">
        <is>
          <t>Owner</t>
        </is>
      </c>
      <c r="E39" s="6" t="inlineStr">
        <is>
          <t>Due date</t>
        </is>
      </c>
      <c r="F39" s="6" t="inlineStr">
        <is>
          <t>Evidence of completion</t>
        </is>
      </c>
      <c r="G39" s="6" t="inlineStr">
        <is>
          <t>Status</t>
        </is>
      </c>
      <c r="H39" s="6" t="inlineStr">
        <is>
          <t>Follow-up date</t>
        </is>
      </c>
      <c r="I39" s="5" t="n"/>
      <c r="J39" s="5" t="n"/>
    </row>
    <row r="40">
      <c r="C40" s="7" t="n"/>
      <c r="D40" s="7" t="n"/>
      <c r="E40" s="7" t="n"/>
      <c r="F40" s="7" t="n"/>
      <c r="G40" s="7" t="n"/>
      <c r="H40" s="7" t="n"/>
      <c r="I40" s="5" t="n"/>
      <c r="J40" s="5" t="n"/>
    </row>
    <row r="41">
      <c r="C41" s="7" t="n"/>
      <c r="D41" s="7" t="n"/>
      <c r="E41" s="7" t="n"/>
      <c r="F41" s="7" t="n"/>
      <c r="G41" s="7" t="n"/>
      <c r="H41" s="7" t="n"/>
      <c r="I41" s="5" t="n"/>
      <c r="J41" s="5" t="n"/>
    </row>
    <row r="42">
      <c r="C42" s="7" t="n"/>
      <c r="D42" s="7" t="n"/>
      <c r="E42" s="7" t="n"/>
      <c r="F42" s="7" t="n"/>
      <c r="G42" s="7" t="n"/>
      <c r="H42" s="7" t="n"/>
      <c r="I42" s="5" t="n"/>
      <c r="J42" s="5" t="n"/>
    </row>
    <row r="43">
      <c r="C43" s="7" t="n"/>
      <c r="D43" s="7" t="n"/>
      <c r="E43" s="7" t="n"/>
      <c r="F43" s="7" t="n"/>
      <c r="G43" s="7" t="n"/>
      <c r="H43" s="7" t="n"/>
      <c r="I43" s="5" t="n"/>
      <c r="J43" s="5" t="n"/>
    </row>
    <row r="44">
      <c r="C44" s="7" t="n"/>
      <c r="D44" s="7" t="n"/>
      <c r="E44" s="7" t="n"/>
      <c r="F44" s="7" t="n"/>
      <c r="G44" s="7" t="n"/>
      <c r="H44" s="7" t="n"/>
      <c r="I44" s="5" t="n"/>
      <c r="J44" s="5" t="n"/>
    </row>
  </sheetData>
  <mergeCells count="5">
    <mergeCell ref="C17:J17"/>
    <mergeCell ref="C3:J3"/>
    <mergeCell ref="C29:J29"/>
    <mergeCell ref="C38:J38"/>
    <mergeCell ref="C8:J8"/>
  </mergeCells>
  <pageMargins left="0.75" right="0.75" top="1" bottom="1" header="0.5" footer="0.5"/>
  <pageSetup orientation="landscape" fitToHeight="0" fitToWidth="1"/>
  <headerFooter>
    <oddHeader/>
    <oddFooter>&amp;C&amp;A |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2026-08-12T21:53:57Z</dcterms:created>
  <dcterms:modified xmlns:dcterms="http://purl.org/dc/terms/" xmlns:xsi="http://www.w3.org/2001/XMLSchema-instance" xsi:type="dcterms:W3CDTF">2026-08-12T21:53:57Z</dcterms:modified>
</cp:coreProperties>
</file>