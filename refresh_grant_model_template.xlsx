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Board Summary" sheetId="3" state="visible" r:id="rId3"/>
  </sheets>
  <definedNames>
    <definedName name="_xlnm.Print_Area" localSheetId="0">'Inputs'!$B$2:$H$35</definedName>
    <definedName name="_xlnm.Print_Area" localSheetId="1">'Model'!$B$2:$H$39</definedName>
    <definedName name="_xlnm.Print_Area" localSheetId="2">'Board Summary'!$B$2:$H$29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;($#,##0.0);-"/>
    <numFmt numFmtId="165" formatCode="0.00x"/>
    <numFmt numFmtId="166" formatCode="#,##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1"/>
    </font>
    <font>
      <name val="Arial"/>
      <i val="1"/>
      <color rgb="00000000"/>
      <sz val="10"/>
    </font>
    <font>
      <name val="Arial"/>
      <b val="1"/>
      <color rgb="00000000"/>
    </font>
    <font>
      <name val="Arial"/>
      <color rgb="000000FF"/>
    </font>
    <font>
      <name val="Arial"/>
      <i val="1"/>
      <color rgb="00000000"/>
    </font>
    <font>
      <name val="Arial"/>
      <color rgb="00008000"/>
    </font>
    <font>
      <name val="Arial"/>
      <color rgb="00000000"/>
    </font>
  </fonts>
  <fills count="5">
    <fill>
      <patternFill/>
    </fill>
    <fill>
      <patternFill patternType="gray125"/>
    </fill>
    <fill>
      <patternFill patternType="solid">
        <fgColor rgb="00135B44"/>
      </patternFill>
    </fill>
    <fill>
      <patternFill patternType="solid">
        <fgColor rgb="00CFE9E0"/>
      </patternFill>
    </fill>
    <fill>
      <patternFill patternType="solid">
        <fgColor rgb="00E7E5E4"/>
      </patternFill>
    </fill>
  </fills>
  <borders count="2">
    <border>
      <left/>
      <right/>
      <top/>
      <bottom/>
      <diagonal/>
    </border>
    <border>
      <top style="medium">
        <color rgb="00135B44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164" fontId="5" fillId="0" borderId="0" applyAlignment="1" pivotButton="0" quotePrefix="0" xfId="0">
      <alignment horizontal="right" vertical="top" wrapText="1"/>
    </xf>
    <xf numFmtId="1" fontId="5" fillId="0" borderId="0" applyAlignment="1" pivotButton="0" quotePrefix="0" xfId="0">
      <alignment horizontal="right" vertical="top" wrapText="1"/>
    </xf>
    <xf numFmtId="2" fontId="5" fillId="0" borderId="0" applyAlignment="1" pivotButton="0" quotePrefix="0" xfId="0">
      <alignment horizontal="right" vertical="top" wrapText="1"/>
    </xf>
    <xf numFmtId="3" fontId="5" fillId="0" borderId="0" applyAlignment="1" pivotButton="0" quotePrefix="0" xfId="0">
      <alignment horizontal="right" vertical="top" wrapText="1"/>
    </xf>
    <xf numFmtId="165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right" vertical="top" wrapText="1"/>
    </xf>
    <xf numFmtId="1" fontId="7" fillId="0" borderId="0" applyAlignment="1" pivotButton="0" quotePrefix="0" xfId="0">
      <alignment horizontal="right" vertical="top" wrapText="1"/>
    </xf>
    <xf numFmtId="2" fontId="7" fillId="0" borderId="0" applyAlignment="1" pivotButton="0" quotePrefix="0" xfId="0">
      <alignment horizontal="right" vertical="top" wrapText="1"/>
    </xf>
    <xf numFmtId="3" fontId="7" fillId="0" borderId="0" applyAlignment="1" pivotButton="0" quotePrefix="0" xfId="0">
      <alignment horizontal="right" vertical="top" wrapText="1"/>
    </xf>
    <xf numFmtId="165" fontId="7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164" fontId="8" fillId="0" borderId="0" applyAlignment="1" pivotButton="0" quotePrefix="0" xfId="0">
      <alignment horizontal="right" vertical="top" wrapText="1"/>
    </xf>
    <xf numFmtId="3" fontId="8" fillId="0" borderId="0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left" vertical="top" wrapText="1"/>
    </xf>
    <xf numFmtId="3" fontId="4" fillId="0" borderId="1" applyAlignment="1" pivotButton="0" quotePrefix="0" xfId="0">
      <alignment horizontal="right" vertical="top" wrapText="1"/>
    </xf>
    <xf numFmtId="166" fontId="8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166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Manus AI</author>
  </authors>
  <commentList>
    <comment ref="D10" authorId="0" shapeId="0">
      <text>
        <t>Source: Board-approved compensation framework or HR market review; as-of date required.</t>
      </text>
    </comment>
    <comment ref="D11" authorId="0" shapeId="0">
      <text>
        <t>Source: Board-approved retention policy; typically expressed in months.</t>
      </text>
    </comment>
    <comment ref="D12" authorId="0" shapeId="0">
      <text>
        <t>Source: Latest approved valuation / 409A-equivalent assessment; date and approver required.</t>
      </text>
    </comment>
    <comment ref="D13" authorId="0" shapeId="0">
      <text>
        <t>Source: Cap table administrator / equity platform; as-of grant review date.</t>
      </text>
    </comment>
    <comment ref="D14" authorId="0" shapeId="0">
      <text>
        <t>Source: Compensation committee policy; annual or cycle-specific cap.</t>
      </text>
    </comment>
    <comment ref="D15" authorId="0" shapeId="0">
      <text>
        <t>Source: Cap table / board-approved option pool; as-of grant review date.</t>
      </text>
    </comment>
    <comment ref="D16" authorId="0" shapeId="0">
      <text>
        <t>Source: Cap table; required only for ownership-dilution reporting.</t>
      </text>
    </comment>
    <comment ref="D21" authorId="0" shapeId="0">
      <text>
        <t>Source: Internal policy recommendation in REFRESH_GRANT_MODEL.md; requires Compensation Committee approval before operational use.</t>
      </text>
    </comment>
    <comment ref="D22" authorId="0" shapeId="0">
      <text>
        <t>Source: Internal policy recommendation in REFRESH_GRANT_MODEL.md; requires Compensation Committee approval before operational use.</t>
      </text>
    </comment>
    <comment ref="D23" authorId="0" shapeId="0">
      <text>
        <t>Source: Internal policy recommendation in REFRESH_GRANT_MODEL.md; requires Compensation Committee approval before operational use.</t>
      </text>
    </comment>
    <comment ref="D24" authorId="0" shapeId="0">
      <text>
        <t>Source: Internal policy recommendation in REFRESH_GRANT_MODEL.md; requires Compensation Committee approval before operational use.</t>
      </text>
    </comment>
    <comment ref="D25" authorId="0" shapeId="0">
      <text>
        <t>Source: Internal policy recommendation in REFRESH_GRANT_MODEL.md; requires Compensation Committee approval before operational use.</t>
      </text>
    </comment>
    <comment ref="D26" authorId="0" shapeId="0">
      <text>
        <t>Source: Internal policy recommendation in REFRESH_GRANT_MODEL.md; requires Compensation Committee approval before operational use.</t>
      </text>
    </comment>
    <comment ref="D27" authorId="0" shapeId="0">
      <text>
        <t>Source: Internal policy recommendation in REFRESH_GRANT_MODEL.md; requires Compensation Committee approval before operational use.</t>
      </text>
    </comment>
    <comment ref="D28" authorId="0" shapeId="0">
      <text>
        <t>Source: Internal policy recommendation in REFRESH_GRANT_MODEL.md; requires Compensation Committee approval before operational use.</t>
      </text>
    </comment>
    <comment ref="D29" authorId="0" shapeId="0">
      <text>
        <t>Source: Internal policy recommendation in REFRESH_GRANT_MODEL.md; requires Compensation Committee approval before operational use.</t>
      </text>
    </comment>
    <comment ref="D30" authorId="0" shapeId="0">
      <text>
        <t>Source: Internal policy recommendation in REFRESH_GRANT_MODEL.md; requires Compensation Committee approval before operational use.</t>
      </text>
    </comment>
  </commentList>
</comments>
</file>

<file path=xl/comments/comment2.xml><?xml version="1.0" encoding="utf-8"?>
<comments xmlns="http://schemas.openxmlformats.org/spreadsheetml/2006/main">
  <authors>
    <author>Manus AI</author>
  </authors>
  <commentList>
    <comment ref="E20" authorId="0" shapeId="0">
      <text>
        <t>Source: Compensation committee calibrated annual review. Select label exactly as shown in Inputs!C21:C24.</t>
      </text>
    </comment>
    <comment ref="E21" authorId="0" shapeId="0">
      <text>
        <t>Source: CTO/CEO role-criticality review with documented business rationale.</t>
      </text>
    </comment>
    <comment ref="E22" authorId="0" shapeId="0">
      <text>
        <t>Source: HR/manager stay interview and retention-risk review; selection must be documented.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8" customWidth="1" min="3" max="3"/>
    <col width="16" customWidth="1" min="4" max="4"/>
    <col width="58" customWidth="1" min="5" max="5"/>
    <col width="10" customWidth="1" min="6" max="6"/>
    <col width="10" customWidth="1" min="7" max="7"/>
    <col width="10" customWidth="1" min="8" max="8"/>
  </cols>
  <sheetData>
    <row r="1"/>
    <row r="2"/>
    <row r="3">
      <c r="C3" s="1" t="inlineStr">
        <is>
          <t>Refresh Grant Model — Inputs</t>
        </is>
      </c>
    </row>
    <row r="4"/>
    <row r="5">
      <c r="C5" s="2" t="inlineStr">
        <is>
          <t>Management inputs and approved policy multipliers</t>
        </is>
      </c>
    </row>
    <row r="6">
      <c r="C6" s="3" t="inlineStr">
        <is>
          <t>(USD, shares/units, months and multiples as labeled)</t>
        </is>
      </c>
    </row>
    <row r="7"/>
    <row r="8">
      <c r="C8" s="4" t="inlineStr">
        <is>
          <t>Individual and plan inputs — enter approved data in blue cells</t>
        </is>
      </c>
      <c r="D8" s="5" t="n"/>
      <c r="E8" s="5" t="n"/>
      <c r="F8" s="5" t="n"/>
      <c r="G8" s="5" t="n"/>
      <c r="H8" s="5" t="n"/>
    </row>
    <row r="9">
      <c r="C9" s="6" t="inlineStr">
        <is>
          <t>Input</t>
        </is>
      </c>
      <c r="D9" s="6" t="inlineStr">
        <is>
          <t>Value</t>
        </is>
      </c>
      <c r="E9" s="6" t="inlineStr">
        <is>
          <t>Definition / Source</t>
        </is>
      </c>
      <c r="F9" s="5" t="n"/>
      <c r="G9" s="5" t="n"/>
      <c r="H9" s="5" t="n"/>
    </row>
    <row r="10">
      <c r="C10" s="5" t="inlineStr">
        <is>
          <t>Annual target equity value for role (TEV)</t>
        </is>
      </c>
      <c r="D10" s="7" t="n"/>
      <c r="E10" s="5" t="inlineStr">
        <is>
          <t>Board-approved annual target equity value for the employee's role/level.</t>
        </is>
      </c>
      <c r="F10" s="5" t="n"/>
      <c r="G10" s="5" t="n"/>
      <c r="H10" s="5" t="n"/>
    </row>
    <row r="11">
      <c r="C11" s="5" t="inlineStr">
        <is>
          <t>Target coverage months (CM)</t>
        </is>
      </c>
      <c r="D11" s="8" t="n"/>
      <c r="E11" s="5" t="inlineStr">
        <is>
          <t>Months of future unvested-equity coverage targeted by policy.</t>
        </is>
      </c>
      <c r="F11" s="5" t="n"/>
      <c r="G11" s="5" t="n"/>
      <c r="H11" s="5" t="n"/>
    </row>
    <row r="12">
      <c r="C12" s="5" t="inlineStr">
        <is>
          <t>Fair market value per share / unit (FMV)</t>
        </is>
      </c>
      <c r="D12" s="9" t="n"/>
      <c r="E12" s="5" t="inlineStr">
        <is>
          <t>Confirmed fair market value per share/unit; do not use enterprise value.</t>
        </is>
      </c>
      <c r="F12" s="5" t="n"/>
      <c r="G12" s="5" t="n"/>
      <c r="H12" s="5" t="n"/>
    </row>
    <row r="13">
      <c r="C13" s="5" t="inlineStr">
        <is>
          <t>Current unvested options / units (UO)</t>
        </is>
      </c>
      <c r="D13" s="10" t="n"/>
      <c r="E13" s="5" t="inlineStr">
        <is>
          <t>Granted and unvested options/units held by the employee.</t>
        </is>
      </c>
      <c r="F13" s="5" t="n"/>
      <c r="G13" s="5" t="n"/>
      <c r="H13" s="5" t="n"/>
    </row>
    <row r="14">
      <c r="C14" s="5" t="inlineStr">
        <is>
          <t>Individual grant cap (IC)</t>
        </is>
      </c>
      <c r="D14" s="10" t="n"/>
      <c r="E14" s="5" t="inlineStr">
        <is>
          <t>Maximum refresh shares/units permitted for one employee in this cycle.</t>
        </is>
      </c>
      <c r="F14" s="5" t="n"/>
      <c r="G14" s="5" t="n"/>
      <c r="H14" s="5" t="n"/>
    </row>
    <row r="15">
      <c r="C15" s="5" t="inlineStr">
        <is>
          <t>Remaining ESOP pool capacity (PC)</t>
        </is>
      </c>
      <c r="D15" s="10" t="n"/>
      <c r="E15" s="5" t="inlineStr">
        <is>
          <t>Unallocated shares/units still available in the ESOP pool.</t>
        </is>
      </c>
      <c r="F15" s="5" t="n"/>
      <c r="G15" s="5" t="n"/>
      <c r="H15" s="5" t="n"/>
    </row>
    <row r="16">
      <c r="C16" s="5" t="inlineStr">
        <is>
          <t>Basic shares / units outstanding</t>
        </is>
      </c>
      <c r="D16" s="10" t="n"/>
      <c r="E16" s="5" t="inlineStr">
        <is>
          <t>Basic shares/units outstanding before the proposed refresh grant.</t>
        </is>
      </c>
      <c r="F16" s="5" t="n"/>
      <c r="G16" s="5" t="n"/>
      <c r="H16" s="5" t="n"/>
    </row>
    <row r="17">
      <c r="C17" s="5" t="n"/>
      <c r="D17" s="5" t="n"/>
      <c r="E17" s="5" t="n"/>
      <c r="F17" s="5" t="n"/>
      <c r="G17" s="5" t="n"/>
      <c r="H17" s="5" t="n"/>
    </row>
    <row r="18">
      <c r="C18" s="5" t="n"/>
      <c r="D18" s="5" t="n"/>
      <c r="E18" s="5" t="n"/>
      <c r="F18" s="5" t="n"/>
      <c r="G18" s="5" t="n"/>
      <c r="H18" s="5" t="n"/>
    </row>
    <row r="19">
      <c r="C19" s="4" t="inlineStr">
        <is>
          <t>Policy multipliers — initial values are proposed policy settings; Board approval required</t>
        </is>
      </c>
      <c r="D19" s="5" t="n"/>
      <c r="E19" s="5" t="n"/>
      <c r="F19" s="5" t="n"/>
      <c r="G19" s="5" t="n"/>
      <c r="H19" s="5" t="n"/>
    </row>
    <row r="20">
      <c r="C20" s="6" t="inlineStr">
        <is>
          <t>Multiplier</t>
        </is>
      </c>
      <c r="D20" s="6" t="inlineStr">
        <is>
          <t>Proposed value</t>
        </is>
      </c>
      <c r="E20" s="6" t="inlineStr">
        <is>
          <t>Use case</t>
        </is>
      </c>
      <c r="F20" s="5" t="n"/>
      <c r="G20" s="5" t="n"/>
      <c r="H20" s="5" t="n"/>
    </row>
    <row r="21">
      <c r="C21" s="5" t="inlineStr">
        <is>
          <t>Performance factor — outstanding</t>
        </is>
      </c>
      <c r="D21" s="11" t="n">
        <v>1.25</v>
      </c>
      <c r="E21" s="5" t="inlineStr">
        <is>
          <t>Use only after calibrated annual performance review.</t>
        </is>
      </c>
      <c r="F21" s="5" t="n"/>
      <c r="G21" s="5" t="n"/>
      <c r="H21" s="5" t="n"/>
    </row>
    <row r="22">
      <c r="C22" s="5" t="inlineStr">
        <is>
          <t>Performance factor — strong</t>
        </is>
      </c>
      <c r="D22" s="11" t="n">
        <v>1</v>
      </c>
      <c r="E22" s="5" t="inlineStr">
        <is>
          <t>Standard high-performance outcome.</t>
        </is>
      </c>
      <c r="F22" s="5" t="n"/>
      <c r="G22" s="5" t="n"/>
      <c r="H22" s="5" t="n"/>
    </row>
    <row r="23">
      <c r="C23" s="5" t="inlineStr">
        <is>
          <t>Performance factor — meets expectations</t>
        </is>
      </c>
      <c r="D23" s="11" t="n">
        <v>0.75</v>
      </c>
      <c r="E23" s="5" t="inlineStr">
        <is>
          <t>Minimum retention coverage subject to role needs.</t>
        </is>
      </c>
      <c r="F23" s="5" t="n"/>
      <c r="G23" s="5" t="n"/>
      <c r="H23" s="5" t="n"/>
    </row>
    <row r="24">
      <c r="C24" s="5" t="inlineStr">
        <is>
          <t>Performance factor — needs improvement</t>
        </is>
      </c>
      <c r="D24" s="11" t="n">
        <v>0</v>
      </c>
      <c r="E24" s="5" t="inlineStr">
        <is>
          <t>No automatic refresh grant; exception needs committee approval.</t>
        </is>
      </c>
      <c r="F24" s="5" t="n"/>
      <c r="G24" s="5" t="n"/>
      <c r="H24" s="5" t="n"/>
    </row>
    <row r="25">
      <c r="C25" s="5" t="inlineStr">
        <is>
          <t>Criticality factor — critical role</t>
        </is>
      </c>
      <c r="D25" s="11" t="n">
        <v>1.2</v>
      </c>
      <c r="E25" s="5" t="inlineStr">
        <is>
          <t>Security, core AI, architecture or hard-to-replace role.</t>
        </is>
      </c>
      <c r="F25" s="5" t="n"/>
      <c r="G25" s="5" t="n"/>
      <c r="H25" s="5" t="n"/>
    </row>
    <row r="26">
      <c r="C26" s="5" t="inlineStr">
        <is>
          <t>Criticality factor — standard role</t>
        </is>
      </c>
      <c r="D26" s="11" t="n">
        <v>1</v>
      </c>
      <c r="E26" s="5" t="inlineStr">
        <is>
          <t>Default role-criticality setting.</t>
        </is>
      </c>
      <c r="F26" s="5" t="n"/>
      <c r="G26" s="5" t="n"/>
      <c r="H26" s="5" t="n"/>
    </row>
    <row r="27">
      <c r="C27" s="5" t="inlineStr">
        <is>
          <t>Criticality factor — lower urgency</t>
        </is>
      </c>
      <c r="D27" s="11" t="n">
        <v>0.85</v>
      </c>
      <c r="E27" s="5" t="inlineStr">
        <is>
          <t>Use only with documented business rationale.</t>
        </is>
      </c>
      <c r="F27" s="5" t="n"/>
      <c r="G27" s="5" t="n"/>
      <c r="H27" s="5" t="n"/>
    </row>
    <row r="28">
      <c r="C28" s="5" t="inlineStr">
        <is>
          <t>Retention risk factor — documented high risk</t>
        </is>
      </c>
      <c r="D28" s="11" t="n">
        <v>1.15</v>
      </c>
      <c r="E28" s="5" t="inlineStr">
        <is>
          <t>Stay interview and mitigation plan required.</t>
        </is>
      </c>
      <c r="F28" s="5" t="n"/>
      <c r="G28" s="5" t="n"/>
      <c r="H28" s="5" t="n"/>
    </row>
    <row r="29">
      <c r="C29" s="5" t="inlineStr">
        <is>
          <t>Retention risk factor — normal</t>
        </is>
      </c>
      <c r="D29" s="11" t="n">
        <v>1</v>
      </c>
      <c r="E29" s="5" t="inlineStr">
        <is>
          <t>Default risk setting.</t>
        </is>
      </c>
      <c r="F29" s="5" t="n"/>
      <c r="G29" s="5" t="n"/>
      <c r="H29" s="5" t="n"/>
    </row>
    <row r="30">
      <c r="C30" s="5" t="inlineStr">
        <is>
          <t>Retention risk factor — low</t>
        </is>
      </c>
      <c r="D30" s="11" t="n">
        <v>0.9</v>
      </c>
      <c r="E30" s="5" t="inlineStr">
        <is>
          <t>Use for budget prioritization; not a punitive factor.</t>
        </is>
      </c>
      <c r="F30" s="5" t="n"/>
      <c r="G30" s="5" t="n"/>
      <c r="H30" s="5" t="n"/>
    </row>
    <row r="31">
      <c r="C31" s="5" t="n"/>
      <c r="D31" s="5" t="n"/>
      <c r="E31" s="5" t="n"/>
      <c r="F31" s="5" t="n"/>
      <c r="G31" s="5" t="n"/>
      <c r="H31" s="5" t="n"/>
    </row>
    <row r="32">
      <c r="C32" s="5" t="n"/>
      <c r="D32" s="5" t="n"/>
      <c r="E32" s="5" t="n"/>
      <c r="F32" s="5" t="n"/>
      <c r="G32" s="5" t="n"/>
      <c r="H32" s="5" t="n"/>
    </row>
    <row r="33">
      <c r="C33" s="12" t="inlineStr">
        <is>
          <t>مدل فقط پس از ورود داده‌های تاییدشده خروجی عددی ایجاد می‌کند.</t>
        </is>
      </c>
      <c r="D33" s="5" t="n"/>
      <c r="E33" s="5" t="n"/>
      <c r="F33" s="5" t="n"/>
      <c r="G33" s="5" t="n"/>
      <c r="H33" s="5" t="n"/>
    </row>
    <row r="34">
      <c r="C34" s="12" t="inlineStr">
        <is>
          <t>All blue-font cells are hardcoded inputs or policy parameters and include audit comments.</t>
        </is>
      </c>
      <c r="D34" s="5" t="n"/>
      <c r="E34" s="5" t="n"/>
      <c r="F34" s="5" t="n"/>
      <c r="G34" s="5" t="n"/>
      <c r="H34" s="5" t="n"/>
    </row>
  </sheetData>
  <mergeCells count="5">
    <mergeCell ref="C33:H33"/>
    <mergeCell ref="C19:H19"/>
    <mergeCell ref="C3:H3"/>
    <mergeCell ref="C8:H8"/>
    <mergeCell ref="C34:H34"/>
  </mergeCells>
  <pageMargins left="0.75" right="0.75" top="1" bottom="1" header="0.5" footer="0.5"/>
  <pageSetup orientation="landscape" fitToHeight="0" fitToWidth="1"/>
  <headerFooter>
    <oddHeader/>
    <oddFooter>&amp;C&amp;A |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C1:H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8" customWidth="1" min="3" max="3"/>
    <col width="58" customWidth="1" min="4" max="4"/>
    <col width="36" customWidth="1" min="5" max="5"/>
    <col width="10" customWidth="1" min="6" max="6"/>
    <col width="10" customWidth="1" min="7" max="7"/>
    <col width="10" customWidth="1" min="8" max="8"/>
  </cols>
  <sheetData>
    <row r="1"/>
    <row r="2"/>
    <row r="3">
      <c r="C3" s="1" t="inlineStr">
        <is>
          <t>Refresh Grant Model — Calculation</t>
        </is>
      </c>
    </row>
    <row r="4"/>
    <row r="5">
      <c r="C5" s="2" t="inlineStr">
        <is>
          <t>Formula-driven calculation; cross-sheet references are displayed in green</t>
        </is>
      </c>
    </row>
    <row r="6">
      <c r="C6" s="3" t="inlineStr">
        <is>
          <t>(USD, shares/units and multiples as labeled)</t>
        </is>
      </c>
    </row>
    <row r="7"/>
    <row r="8">
      <c r="C8" s="4" t="inlineStr">
        <is>
          <t>Linked inputs</t>
        </is>
      </c>
      <c r="D8" s="5" t="n"/>
      <c r="E8" s="5" t="n"/>
      <c r="F8" s="5" t="n"/>
      <c r="G8" s="5" t="n"/>
      <c r="H8" s="5" t="n"/>
    </row>
    <row r="9">
      <c r="C9" s="5" t="n"/>
      <c r="D9" s="5" t="n"/>
      <c r="E9" s="5" t="n"/>
      <c r="F9" s="5" t="n"/>
      <c r="G9" s="5" t="n"/>
      <c r="H9" s="5" t="n"/>
    </row>
    <row r="10">
      <c r="C10" s="5" t="inlineStr">
        <is>
          <t>Annual target equity value (TEV)</t>
        </is>
      </c>
      <c r="D10" s="13">
        <f>Inputs!D10</f>
        <v/>
      </c>
      <c r="E10" s="5" t="n"/>
      <c r="F10" s="5" t="n"/>
      <c r="G10" s="5" t="n"/>
      <c r="H10" s="5" t="n"/>
    </row>
    <row r="11">
      <c r="C11" s="5" t="inlineStr">
        <is>
          <t>Target coverage months (CM)</t>
        </is>
      </c>
      <c r="D11" s="14">
        <f>Inputs!D11</f>
        <v/>
      </c>
      <c r="E11" s="5" t="n"/>
      <c r="F11" s="5" t="n"/>
      <c r="G11" s="5" t="n"/>
      <c r="H11" s="5" t="n"/>
    </row>
    <row r="12">
      <c r="C12" s="5" t="inlineStr">
        <is>
          <t>Fair market value per share / unit (FMV)</t>
        </is>
      </c>
      <c r="D12" s="15">
        <f>Inputs!D12</f>
        <v/>
      </c>
      <c r="E12" s="5" t="n"/>
      <c r="F12" s="5" t="n"/>
      <c r="G12" s="5" t="n"/>
      <c r="H12" s="5" t="n"/>
    </row>
    <row r="13">
      <c r="C13" s="5" t="inlineStr">
        <is>
          <t>Current unvested options / units (UO)</t>
        </is>
      </c>
      <c r="D13" s="16">
        <f>Inputs!D13</f>
        <v/>
      </c>
      <c r="E13" s="5" t="n"/>
      <c r="F13" s="5" t="n"/>
      <c r="G13" s="5" t="n"/>
      <c r="H13" s="5" t="n"/>
    </row>
    <row r="14">
      <c r="C14" s="5" t="inlineStr">
        <is>
          <t>Individual grant cap (IC)</t>
        </is>
      </c>
      <c r="D14" s="16">
        <f>Inputs!D14</f>
        <v/>
      </c>
      <c r="E14" s="5" t="n"/>
      <c r="F14" s="5" t="n"/>
      <c r="G14" s="5" t="n"/>
      <c r="H14" s="5" t="n"/>
    </row>
    <row r="15">
      <c r="C15" s="5" t="inlineStr">
        <is>
          <t>Remaining ESOP pool capacity (PC)</t>
        </is>
      </c>
      <c r="D15" s="16">
        <f>Inputs!D15</f>
        <v/>
      </c>
      <c r="E15" s="5" t="n"/>
      <c r="F15" s="5" t="n"/>
      <c r="G15" s="5" t="n"/>
      <c r="H15" s="5" t="n"/>
    </row>
    <row r="16">
      <c r="C16" s="5" t="inlineStr">
        <is>
          <t>Basic shares / units outstanding</t>
        </is>
      </c>
      <c r="D16" s="16">
        <f>Inputs!D16</f>
        <v/>
      </c>
      <c r="E16" s="5" t="n"/>
      <c r="F16" s="5" t="n"/>
      <c r="G16" s="5" t="n"/>
      <c r="H16" s="5" t="n"/>
    </row>
    <row r="17">
      <c r="C17" s="5" t="n"/>
      <c r="D17" s="5" t="n"/>
      <c r="E17" s="5" t="n"/>
      <c r="F17" s="5" t="n"/>
      <c r="G17" s="5" t="n"/>
      <c r="H17" s="5" t="n"/>
    </row>
    <row r="18">
      <c r="C18" s="5" t="n"/>
      <c r="D18" s="5" t="n"/>
      <c r="E18" s="5" t="n"/>
      <c r="F18" s="5" t="n"/>
      <c r="G18" s="5" t="n"/>
      <c r="H18" s="5" t="n"/>
    </row>
    <row r="19">
      <c r="C19" s="4" t="inlineStr">
        <is>
          <t>Selected multipliers — set by committee after calibration</t>
        </is>
      </c>
      <c r="D19" s="5" t="n"/>
      <c r="E19" s="5" t="n"/>
      <c r="F19" s="5" t="n"/>
      <c r="G19" s="5" t="n"/>
      <c r="H19" s="5" t="n"/>
    </row>
    <row r="20">
      <c r="C20" s="5" t="inlineStr">
        <is>
          <t>Performance factor (PF)</t>
        </is>
      </c>
      <c r="D20" s="17">
        <f>IFERROR(INDEX(Inputs!$D$21:$D$24,MATCH(E20,Inputs!$C$21:$C$24,0)),"")</f>
        <v/>
      </c>
      <c r="E20" s="18" t="inlineStr">
        <is>
          <t>Performance factor — strong</t>
        </is>
      </c>
      <c r="F20" s="5" t="n"/>
      <c r="G20" s="5" t="n"/>
      <c r="H20" s="5" t="n"/>
    </row>
    <row r="21">
      <c r="C21" s="5" t="inlineStr">
        <is>
          <t>Criticality factor (CF)</t>
        </is>
      </c>
      <c r="D21" s="17">
        <f>IFERROR(INDEX(Inputs!$D$25:$D$27,MATCH(E21,Inputs!$C$25:$C$27,0)),"")</f>
        <v/>
      </c>
      <c r="E21" s="18" t="inlineStr">
        <is>
          <t>Criticality factor — standard role</t>
        </is>
      </c>
      <c r="F21" s="5" t="n"/>
      <c r="G21" s="5" t="n"/>
      <c r="H21" s="5" t="n"/>
    </row>
    <row r="22">
      <c r="C22" s="5" t="inlineStr">
        <is>
          <t>Retention risk factor (RF)</t>
        </is>
      </c>
      <c r="D22" s="17">
        <f>IFERROR(INDEX(Inputs!$D$28:$D$30,MATCH(E22,Inputs!$C$28:$C$30,0)),"")</f>
        <v/>
      </c>
      <c r="E22" s="18" t="inlineStr">
        <is>
          <t>Retention risk factor — normal</t>
        </is>
      </c>
      <c r="F22" s="5" t="n"/>
      <c r="G22" s="5" t="n"/>
      <c r="H22" s="5" t="n"/>
    </row>
    <row r="23">
      <c r="C23" s="5" t="n"/>
      <c r="D23" s="5" t="n"/>
      <c r="E23" s="5" t="n"/>
      <c r="F23" s="5" t="n"/>
      <c r="G23" s="5" t="n"/>
      <c r="H23" s="5" t="n"/>
    </row>
    <row r="24">
      <c r="C24" s="5" t="n"/>
      <c r="D24" s="5" t="n"/>
      <c r="E24" s="5" t="n"/>
      <c r="F24" s="5" t="n"/>
      <c r="G24" s="5" t="n"/>
      <c r="H24" s="5" t="n"/>
    </row>
    <row r="25">
      <c r="C25" s="4" t="inlineStr">
        <is>
          <t>Refresh Grant calculation</t>
        </is>
      </c>
      <c r="D25" s="5" t="n"/>
      <c r="E25" s="5" t="n"/>
      <c r="F25" s="5" t="n"/>
      <c r="G25" s="5" t="n"/>
      <c r="H25" s="5" t="n"/>
    </row>
    <row r="26">
      <c r="C26" s="5" t="inlineStr">
        <is>
          <t>Target outstanding value (TOV)</t>
        </is>
      </c>
      <c r="D26" s="19">
        <f>IF(OR(NOT(ISNUMBER(D10)),NOT(ISNUMBER(D11))),"",D10*(D11/12))</f>
        <v/>
      </c>
      <c r="E26" s="5" t="n"/>
      <c r="F26" s="5" t="n"/>
      <c r="G26" s="5" t="n"/>
      <c r="H26" s="5" t="n"/>
    </row>
    <row r="27">
      <c r="C27" s="5" t="inlineStr">
        <is>
          <t>Current unvested reference value (CURV)</t>
        </is>
      </c>
      <c r="D27" s="19">
        <f>IF(OR(NOT(ISNUMBER(D12)),NOT(ISNUMBER(D13))),"",D12*D13)</f>
        <v/>
      </c>
      <c r="E27" s="5" t="n"/>
      <c r="F27" s="5" t="n"/>
      <c r="G27" s="5" t="n"/>
      <c r="H27" s="5" t="n"/>
    </row>
    <row r="28">
      <c r="C28" s="5" t="inlineStr">
        <is>
          <t>Pre-adjustment retention gap (PARG)</t>
        </is>
      </c>
      <c r="D28" s="19">
        <f>IF(OR(NOT(ISNUMBER(D26)),NOT(ISNUMBER(D27))),"",MAX(D26-D27,0))</f>
        <v/>
      </c>
      <c r="E28" s="5" t="n"/>
      <c r="F28" s="5" t="n"/>
      <c r="G28" s="5" t="n"/>
      <c r="H28" s="5" t="n"/>
    </row>
    <row r="29">
      <c r="C29" s="5" t="inlineStr">
        <is>
          <t>Gross refresh shares / units (GRS)</t>
        </is>
      </c>
      <c r="D29" s="20">
        <f>IF(OR(NOT(ISNUMBER(D28)),NOT(ISNUMBER(D12)),D12&lt;=0,NOT(ISNUMBER(D20)),NOT(ISNUMBER(D21)),NOT(ISNUMBER(D22))),"",(D28/D12)*D20*D21*D22)</f>
        <v/>
      </c>
      <c r="E29" s="5" t="n"/>
      <c r="F29" s="5" t="n"/>
      <c r="G29" s="5" t="n"/>
      <c r="H29" s="5" t="n"/>
    </row>
    <row r="30">
      <c r="C30" s="21" t="inlineStr">
        <is>
          <t>Recommended refresh grant (RRG)</t>
        </is>
      </c>
      <c r="D30" s="22">
        <f>IF(OR(NOT(ISNUMBER(D29)),NOT(ISNUMBER(D14)),NOT(ISNUMBER(D15))),"",MIN(D29,D14,D15))</f>
        <v/>
      </c>
      <c r="E30" s="5" t="n"/>
      <c r="F30" s="5" t="n"/>
      <c r="G30" s="5" t="n"/>
      <c r="H30" s="5" t="n"/>
    </row>
    <row r="31">
      <c r="C31" s="5" t="inlineStr">
        <is>
          <t>Reference value of recommended grant</t>
        </is>
      </c>
      <c r="D31" s="19">
        <f>IF(OR(NOT(ISNUMBER(D30)),NOT(ISNUMBER(D12))),"",D30*D12)</f>
        <v/>
      </c>
      <c r="E31" s="5" t="n"/>
      <c r="F31" s="5" t="n"/>
      <c r="G31" s="5" t="n"/>
      <c r="H31" s="5" t="n"/>
    </row>
    <row r="32">
      <c r="C32" s="5" t="inlineStr">
        <is>
          <t>Implied basic-share dilution</t>
        </is>
      </c>
      <c r="D32" s="23">
        <f>IF(OR(NOT(ISNUMBER(D30)),NOT(ISNUMBER(D16)),D16&lt;=0),"",D30/D16)</f>
        <v/>
      </c>
      <c r="E32" s="5" t="n"/>
      <c r="F32" s="5" t="n"/>
      <c r="G32" s="5" t="n"/>
      <c r="H32" s="5" t="n"/>
    </row>
    <row r="33">
      <c r="C33" s="5" t="inlineStr">
        <is>
          <t>Capacity remaining after recommendation</t>
        </is>
      </c>
      <c r="D33" s="20">
        <f>IF(OR(NOT(ISNUMBER(D15)),NOT(ISNUMBER(D30))),"",D15-D30)</f>
        <v/>
      </c>
      <c r="E33" s="5" t="n"/>
      <c r="F33" s="5" t="n"/>
      <c r="G33" s="5" t="n"/>
      <c r="H33" s="5" t="n"/>
    </row>
    <row r="34">
      <c r="C34" s="5" t="inlineStr">
        <is>
          <t>Review status</t>
        </is>
      </c>
      <c r="D34" s="24">
        <f>IF(OR(NOT(ISNUMBER(D12)),D12&lt;=0,NOT(ISNUMBER(D14)),NOT(ISNUMBER(D15))),"INPUTS REQUIRED",IF(D30&gt;D15,"POOL CAP BREACH",IF(D30&gt;D14,"INDIVIDUAL CAP BREACH","READY FOR COMMITTEE REVIEW")))</f>
        <v/>
      </c>
      <c r="E34" s="5" t="n"/>
      <c r="F34" s="5" t="n"/>
      <c r="G34" s="5" t="n"/>
      <c r="H34" s="5" t="n"/>
    </row>
    <row r="35">
      <c r="C35" s="5" t="n"/>
      <c r="D35" s="5" t="n"/>
      <c r="E35" s="5" t="n"/>
      <c r="F35" s="5" t="n"/>
      <c r="G35" s="5" t="n"/>
      <c r="H35" s="5" t="n"/>
    </row>
    <row r="36">
      <c r="C36" s="5" t="n"/>
      <c r="D36" s="5" t="n"/>
      <c r="E36" s="5" t="n"/>
      <c r="F36" s="5" t="n"/>
      <c r="G36" s="5" t="n"/>
      <c r="H36" s="5" t="n"/>
    </row>
    <row r="37">
      <c r="C37" s="12" t="inlineStr">
        <is>
          <t>مدل فقط پس از ورود داده‌های تاییدشده خروجی عددی ایجاد می‌کند.</t>
        </is>
      </c>
      <c r="D37" s="5" t="n"/>
      <c r="E37" s="5" t="n"/>
      <c r="F37" s="5" t="n"/>
      <c r="G37" s="5" t="n"/>
      <c r="H37" s="5" t="n"/>
    </row>
    <row r="38">
      <c r="C38" s="12" t="inlineStr">
        <is>
          <t>Formula logic: RRG = MIN(((MAX((TEV × CM/12) − (UO × FMV), 0) / FMV) × PF × CF × RF), IC, PC).</t>
        </is>
      </c>
      <c r="D38" s="5" t="n"/>
      <c r="E38" s="5" t="n"/>
      <c r="F38" s="5" t="n"/>
      <c r="G38" s="5" t="n"/>
      <c r="H38" s="5" t="n"/>
    </row>
  </sheetData>
  <mergeCells count="6">
    <mergeCell ref="C25:H25"/>
    <mergeCell ref="C38:H38"/>
    <mergeCell ref="C19:H19"/>
    <mergeCell ref="C37:H37"/>
    <mergeCell ref="C8:H8"/>
    <mergeCell ref="C3:H3"/>
  </mergeCells>
  <pageMargins left="0.75" right="0.75" top="1" bottom="1" header="0.5" footer="0.5"/>
  <pageSetup orientation="landscape" fitToHeight="0" fitToWidth="1"/>
  <headerFooter>
    <oddHeader/>
    <oddFooter>&amp;C&amp;A |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8" customWidth="1" min="3" max="3"/>
    <col width="18" customWidth="1" min="4" max="4"/>
    <col width="58" customWidth="1" min="5" max="5"/>
    <col width="10" customWidth="1" min="6" max="6"/>
    <col width="10" customWidth="1" min="7" max="7"/>
    <col width="10" customWidth="1" min="8" max="8"/>
  </cols>
  <sheetData>
    <row r="1"/>
    <row r="2"/>
    <row r="3">
      <c r="C3" s="1" t="inlineStr">
        <is>
          <t>Refresh Grant — Board Summary</t>
        </is>
      </c>
    </row>
    <row r="4"/>
    <row r="5">
      <c r="C5" s="2" t="inlineStr">
        <is>
          <t>Aggregate control view for Compensation Committee and Board</t>
        </is>
      </c>
    </row>
    <row r="6">
      <c r="C6" s="3" t="inlineStr">
        <is>
          <t>(Template; no employee data is pre-populated)</t>
        </is>
      </c>
    </row>
    <row r="7"/>
    <row r="8">
      <c r="C8" s="4" t="inlineStr">
        <is>
          <t>Cycle-level controls</t>
        </is>
      </c>
      <c r="D8" s="5" t="n"/>
      <c r="E8" s="5" t="n"/>
      <c r="F8" s="5" t="n"/>
      <c r="G8" s="5" t="n"/>
      <c r="H8" s="5" t="n"/>
    </row>
    <row r="9">
      <c r="C9" s="6" t="inlineStr">
        <is>
          <t>Metric</t>
        </is>
      </c>
      <c r="D9" s="6" t="inlineStr">
        <is>
          <t>Formula / result</t>
        </is>
      </c>
      <c r="E9" s="6" t="inlineStr">
        <is>
          <t>Board interpretation</t>
        </is>
      </c>
      <c r="F9" s="5" t="n"/>
      <c r="G9" s="5" t="n"/>
      <c r="H9" s="5" t="n"/>
    </row>
    <row r="10">
      <c r="C10" s="5" t="inlineStr">
        <is>
          <t>Proposed refresh shares / units</t>
        </is>
      </c>
      <c r="D10" s="16">
        <f>Model!D30</f>
        <v/>
      </c>
      <c r="E10" s="5" t="inlineStr">
        <is>
          <t>Single-employee output; aggregate separately for batch awards.</t>
        </is>
      </c>
      <c r="F10" s="5" t="n"/>
      <c r="G10" s="5" t="n"/>
      <c r="H10" s="5" t="n"/>
    </row>
    <row r="11">
      <c r="C11" s="5" t="inlineStr">
        <is>
          <t>Reference value of grant</t>
        </is>
      </c>
      <c r="D11" s="13">
        <f>Model!D31</f>
        <v/>
      </c>
      <c r="E11" s="5" t="inlineStr">
        <is>
          <t>Reference value based on current FMV; not a promise of future value.</t>
        </is>
      </c>
      <c r="F11" s="5" t="n"/>
      <c r="G11" s="5" t="n"/>
      <c r="H11" s="5" t="n"/>
    </row>
    <row r="12">
      <c r="C12" s="5" t="inlineStr">
        <is>
          <t>ESOP pool capacity before grant</t>
        </is>
      </c>
      <c r="D12" s="16">
        <f>Inputs!D15</f>
        <v/>
      </c>
      <c r="E12" s="5" t="inlineStr">
        <is>
          <t>Confirm against cap table immediately before Board approval.</t>
        </is>
      </c>
      <c r="F12" s="5" t="n"/>
      <c r="G12" s="5" t="n"/>
      <c r="H12" s="5" t="n"/>
    </row>
    <row r="13">
      <c r="C13" s="5" t="inlineStr">
        <is>
          <t>ESOP pool capacity after grant</t>
        </is>
      </c>
      <c r="D13" s="16">
        <f>Model!D33</f>
        <v/>
      </c>
      <c r="E13" s="5" t="inlineStr">
        <is>
          <t>Must remain non-negative; Board approval required for any pool expansion.</t>
        </is>
      </c>
      <c r="F13" s="5" t="n"/>
      <c r="G13" s="5" t="n"/>
      <c r="H13" s="5" t="n"/>
    </row>
    <row r="14">
      <c r="C14" s="5" t="inlineStr">
        <is>
          <t>Implied basic-share dilution</t>
        </is>
      </c>
      <c r="D14" s="25">
        <f>Model!D32</f>
        <v/>
      </c>
      <c r="E14" s="5" t="inlineStr">
        <is>
          <t>Review alongside fully diluted cap-table analysis.</t>
        </is>
      </c>
      <c r="F14" s="5" t="n"/>
      <c r="G14" s="5" t="n"/>
      <c r="H14" s="5" t="n"/>
    </row>
    <row r="15">
      <c r="C15" s="5" t="inlineStr">
        <is>
          <t>Decision status</t>
        </is>
      </c>
      <c r="D15" s="26">
        <f>Model!D34</f>
        <v/>
      </c>
      <c r="E15" s="5" t="inlineStr">
        <is>
          <t>Do not issue any grant if status is not READY FOR COMMITTEE REVIEW.</t>
        </is>
      </c>
      <c r="F15" s="5" t="n"/>
      <c r="G15" s="5" t="n"/>
      <c r="H15" s="5" t="n"/>
    </row>
    <row r="16">
      <c r="C16" s="5" t="n"/>
      <c r="D16" s="5" t="n"/>
      <c r="E16" s="5" t="n"/>
      <c r="F16" s="5" t="n"/>
      <c r="G16" s="5" t="n"/>
      <c r="H16" s="5" t="n"/>
    </row>
    <row r="17">
      <c r="C17" s="5" t="n"/>
      <c r="D17" s="5" t="n"/>
      <c r="E17" s="5" t="n"/>
      <c r="F17" s="5" t="n"/>
      <c r="G17" s="5" t="n"/>
      <c r="H17" s="5" t="n"/>
    </row>
    <row r="18">
      <c r="C18" s="5" t="n"/>
      <c r="D18" s="5" t="n"/>
      <c r="E18" s="5" t="n"/>
      <c r="F18" s="5" t="n"/>
      <c r="G18" s="5" t="n"/>
      <c r="H18" s="5" t="n"/>
    </row>
    <row r="19">
      <c r="C19" s="4" t="inlineStr">
        <is>
          <t>Committee checklist</t>
        </is>
      </c>
      <c r="D19" s="5" t="n"/>
      <c r="E19" s="5" t="n"/>
      <c r="F19" s="5" t="n"/>
      <c r="G19" s="5" t="n"/>
      <c r="H19" s="5" t="n"/>
    </row>
    <row r="20">
      <c r="C20" s="5" t="inlineStr">
        <is>
          <t>1. Confirm latest FMV and cap-table capacity as-of the Board decision date.</t>
        </is>
      </c>
      <c r="D20" s="5" t="n"/>
      <c r="E20" s="5" t="n"/>
      <c r="F20" s="5" t="n"/>
      <c r="G20" s="5" t="n"/>
      <c r="H20" s="5" t="n"/>
    </row>
    <row r="21">
      <c r="C21" s="5" t="inlineStr">
        <is>
          <t>2. Confirm performance, role criticality and retention-risk selections have evidence and calibration notes.</t>
        </is>
      </c>
      <c r="D21" s="5" t="n"/>
      <c r="E21" s="5" t="n"/>
      <c r="F21" s="5" t="n"/>
      <c r="G21" s="5" t="n"/>
      <c r="H21" s="5" t="n"/>
    </row>
    <row r="22">
      <c r="C22" s="5" t="inlineStr">
        <is>
          <t>3. Confirm the grant is within the individual cap and the approved ESOP pool.</t>
        </is>
      </c>
      <c r="D22" s="5" t="n"/>
      <c r="E22" s="5" t="n"/>
      <c r="F22" s="5" t="n"/>
      <c r="G22" s="5" t="n"/>
      <c r="H22" s="5" t="n"/>
    </row>
    <row r="23">
      <c r="C23" s="5" t="inlineStr">
        <is>
          <t>4. Confirm legal documentation, vesting terms, strike price and tax treatment with counsel.</t>
        </is>
      </c>
      <c r="D23" s="5" t="n"/>
      <c r="E23" s="5" t="n"/>
      <c r="F23" s="5" t="n"/>
      <c r="G23" s="5" t="n"/>
      <c r="H23" s="5" t="n"/>
    </row>
    <row r="24">
      <c r="C24" s="5" t="inlineStr">
        <is>
          <t>5. Record the formal committee decision, conflicts of interest and grant communication owner.</t>
        </is>
      </c>
      <c r="D24" s="5" t="n"/>
      <c r="E24" s="5" t="n"/>
      <c r="F24" s="5" t="n"/>
      <c r="G24" s="5" t="n"/>
      <c r="H24" s="5" t="n"/>
    </row>
    <row r="25">
      <c r="C25" s="5" t="n"/>
      <c r="D25" s="5" t="n"/>
      <c r="E25" s="5" t="n"/>
      <c r="F25" s="5" t="n"/>
      <c r="G25" s="5" t="n"/>
      <c r="H25" s="5" t="n"/>
    </row>
    <row r="26">
      <c r="C26" s="5" t="n"/>
      <c r="D26" s="5" t="n"/>
      <c r="E26" s="5" t="n"/>
      <c r="F26" s="5" t="n"/>
      <c r="G26" s="5" t="n"/>
      <c r="H26" s="5" t="n"/>
    </row>
    <row r="27">
      <c r="C27" s="12" t="inlineStr">
        <is>
          <t>مدل فقط پس از ورود داده‌های تاییدشده خروجی عددی ایجاد می‌کند.</t>
        </is>
      </c>
      <c r="D27" s="5" t="n"/>
      <c r="E27" s="5" t="n"/>
      <c r="F27" s="5" t="n"/>
      <c r="G27" s="5" t="n"/>
      <c r="H27" s="5" t="n"/>
    </row>
    <row r="28">
      <c r="C28" s="12" t="inlineStr">
        <is>
          <t>This template does not replace a fully diluted cap-table, valuation opinion, tax review or Board resolution.</t>
        </is>
      </c>
      <c r="D28" s="5" t="n"/>
      <c r="E28" s="5" t="n"/>
      <c r="F28" s="5" t="n"/>
      <c r="G28" s="5" t="n"/>
      <c r="H28" s="5" t="n"/>
    </row>
  </sheetData>
  <mergeCells count="10">
    <mergeCell ref="C24:H24"/>
    <mergeCell ref="C19:H19"/>
    <mergeCell ref="C28:H28"/>
    <mergeCell ref="C27:H27"/>
    <mergeCell ref="C22:H22"/>
    <mergeCell ref="C3:H3"/>
    <mergeCell ref="C23:H23"/>
    <mergeCell ref="C8:H8"/>
    <mergeCell ref="C20:H20"/>
    <mergeCell ref="C21:H21"/>
  </mergeCells>
  <pageMargins left="0.75" right="0.75" top="1" bottom="1" header="0.5" footer="0.5"/>
  <pageSetup orientation="landscape" fitToHeight="0" fitToWidth="1"/>
  <headerFooter>
    <oddHeader/>
    <oddFooter>&amp;C&amp;A |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2026-08-12T21:49:44Z</dcterms:created>
  <dcterms:modified xmlns:dcterms="http://purl.org/dc/terms/" xmlns:xsi="http://www.w3.org/2001/XMLSchema-instance" xsi:type="dcterms:W3CDTF">2026-08-12T21:49:44Z</dcterms:modified>
</cp:coreProperties>
</file>